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18257eef8f7a5f/Documents/"/>
    </mc:Choice>
  </mc:AlternateContent>
  <xr:revisionPtr revIDLastSave="0" documentId="8_{633A491E-1CF5-4453-920F-94201ED7258A}" xr6:coauthVersionLast="47" xr6:coauthVersionMax="47" xr10:uidLastSave="{00000000-0000-0000-0000-000000000000}"/>
  <bookViews>
    <workbookView xWindow="-120" yWindow="-120" windowWidth="20730" windowHeight="11160" firstSheet="1" activeTab="6" xr2:uid="{947C8300-D972-4E9B-9669-F9563B70E63B}"/>
  </bookViews>
  <sheets>
    <sheet name="Data Clean Excel" sheetId="1" r:id="rId1"/>
    <sheet name="product" sheetId="2" r:id="rId2"/>
    <sheet name="Sale Sheet" sheetId="3" r:id="rId3"/>
    <sheet name="prediction " sheetId="4" r:id="rId4"/>
    <sheet name="text formulas " sheetId="5" r:id="rId5"/>
    <sheet name="subtotal" sheetId="6" r:id="rId6"/>
    <sheet name="advanced filter" sheetId="7" r:id="rId7"/>
  </sheets>
  <definedNames>
    <definedName name="_xlnm._FilterDatabase" localSheetId="6" hidden="1">'advanced filter'!$A$1:$L$366</definedName>
    <definedName name="_xlnm.Criteria" localSheetId="6">'advanced filter'!$N$11:$O$12</definedName>
    <definedName name="_xlnm.Extract" localSheetId="6">'advanced filter'!$N$14:$Y$14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66" i="7" l="1"/>
  <c r="C366" i="7"/>
  <c r="C365" i="7"/>
  <c r="D365" i="7" s="1"/>
  <c r="D364" i="7"/>
  <c r="C364" i="7"/>
  <c r="C363" i="7"/>
  <c r="D363" i="7" s="1"/>
  <c r="D362" i="7"/>
  <c r="C362" i="7"/>
  <c r="C361" i="7"/>
  <c r="D361" i="7" s="1"/>
  <c r="D360" i="7"/>
  <c r="C360" i="7"/>
  <c r="C359" i="7"/>
  <c r="D359" i="7" s="1"/>
  <c r="D358" i="7"/>
  <c r="C358" i="7"/>
  <c r="C357" i="7"/>
  <c r="D357" i="7" s="1"/>
  <c r="D356" i="7"/>
  <c r="C356" i="7"/>
  <c r="C355" i="7"/>
  <c r="D355" i="7" s="1"/>
  <c r="C354" i="7"/>
  <c r="D354" i="7" s="1"/>
  <c r="C353" i="7"/>
  <c r="D353" i="7" s="1"/>
  <c r="C352" i="7"/>
  <c r="D352" i="7" s="1"/>
  <c r="C351" i="7"/>
  <c r="D351" i="7" s="1"/>
  <c r="D350" i="7"/>
  <c r="C350" i="7"/>
  <c r="C349" i="7"/>
  <c r="D349" i="7" s="1"/>
  <c r="D348" i="7"/>
  <c r="C348" i="7"/>
  <c r="C347" i="7"/>
  <c r="D347" i="7" s="1"/>
  <c r="C346" i="7"/>
  <c r="D346" i="7" s="1"/>
  <c r="C345" i="7"/>
  <c r="D345" i="7" s="1"/>
  <c r="C344" i="7"/>
  <c r="D344" i="7" s="1"/>
  <c r="C343" i="7"/>
  <c r="D343" i="7" s="1"/>
  <c r="D342" i="7"/>
  <c r="C342" i="7"/>
  <c r="C341" i="7"/>
  <c r="D341" i="7" s="1"/>
  <c r="D340" i="7"/>
  <c r="C340" i="7"/>
  <c r="C339" i="7"/>
  <c r="D339" i="7" s="1"/>
  <c r="C338" i="7"/>
  <c r="D338" i="7" s="1"/>
  <c r="C337" i="7"/>
  <c r="D337" i="7" s="1"/>
  <c r="C336" i="7"/>
  <c r="D336" i="7" s="1"/>
  <c r="C335" i="7"/>
  <c r="D335" i="7" s="1"/>
  <c r="D334" i="7"/>
  <c r="C334" i="7"/>
  <c r="C333" i="7"/>
  <c r="D333" i="7" s="1"/>
  <c r="D332" i="7"/>
  <c r="C332" i="7"/>
  <c r="C331" i="7"/>
  <c r="D331" i="7" s="1"/>
  <c r="C330" i="7"/>
  <c r="D330" i="7" s="1"/>
  <c r="C329" i="7"/>
  <c r="D329" i="7" s="1"/>
  <c r="C328" i="7"/>
  <c r="D328" i="7" s="1"/>
  <c r="C327" i="7"/>
  <c r="D327" i="7" s="1"/>
  <c r="D326" i="7"/>
  <c r="C326" i="7"/>
  <c r="C325" i="7"/>
  <c r="D325" i="7" s="1"/>
  <c r="D324" i="7"/>
  <c r="C324" i="7"/>
  <c r="C323" i="7"/>
  <c r="D323" i="7" s="1"/>
  <c r="C322" i="7"/>
  <c r="D322" i="7" s="1"/>
  <c r="C321" i="7"/>
  <c r="D321" i="7" s="1"/>
  <c r="C320" i="7"/>
  <c r="D320" i="7" s="1"/>
  <c r="C319" i="7"/>
  <c r="D319" i="7" s="1"/>
  <c r="D318" i="7"/>
  <c r="C318" i="7"/>
  <c r="C317" i="7"/>
  <c r="D317" i="7" s="1"/>
  <c r="D316" i="7"/>
  <c r="C316" i="7"/>
  <c r="C315" i="7"/>
  <c r="D315" i="7" s="1"/>
  <c r="C314" i="7"/>
  <c r="D314" i="7" s="1"/>
  <c r="C313" i="7"/>
  <c r="D313" i="7" s="1"/>
  <c r="C312" i="7"/>
  <c r="D312" i="7" s="1"/>
  <c r="C311" i="7"/>
  <c r="D311" i="7" s="1"/>
  <c r="D310" i="7"/>
  <c r="C310" i="7"/>
  <c r="C309" i="7"/>
  <c r="D309" i="7" s="1"/>
  <c r="D308" i="7"/>
  <c r="C308" i="7"/>
  <c r="C307" i="7"/>
  <c r="D307" i="7" s="1"/>
  <c r="C306" i="7"/>
  <c r="D306" i="7" s="1"/>
  <c r="C305" i="7"/>
  <c r="D305" i="7" s="1"/>
  <c r="C304" i="7"/>
  <c r="D304" i="7" s="1"/>
  <c r="C303" i="7"/>
  <c r="D303" i="7" s="1"/>
  <c r="D302" i="7"/>
  <c r="C302" i="7"/>
  <c r="C301" i="7"/>
  <c r="D301" i="7" s="1"/>
  <c r="D300" i="7"/>
  <c r="C300" i="7"/>
  <c r="C299" i="7"/>
  <c r="D299" i="7" s="1"/>
  <c r="C298" i="7"/>
  <c r="D298" i="7" s="1"/>
  <c r="C297" i="7"/>
  <c r="D297" i="7" s="1"/>
  <c r="D296" i="7"/>
  <c r="C296" i="7"/>
  <c r="C295" i="7"/>
  <c r="D295" i="7" s="1"/>
  <c r="D294" i="7"/>
  <c r="C294" i="7"/>
  <c r="C293" i="7"/>
  <c r="D293" i="7" s="1"/>
  <c r="D292" i="7"/>
  <c r="C292" i="7"/>
  <c r="C291" i="7"/>
  <c r="D291" i="7" s="1"/>
  <c r="C290" i="7"/>
  <c r="D290" i="7" s="1"/>
  <c r="C289" i="7"/>
  <c r="D289" i="7" s="1"/>
  <c r="D288" i="7"/>
  <c r="C288" i="7"/>
  <c r="C287" i="7"/>
  <c r="D287" i="7" s="1"/>
  <c r="D286" i="7"/>
  <c r="C286" i="7"/>
  <c r="C285" i="7"/>
  <c r="D285" i="7" s="1"/>
  <c r="D284" i="7"/>
  <c r="C284" i="7"/>
  <c r="C283" i="7"/>
  <c r="D283" i="7" s="1"/>
  <c r="C282" i="7"/>
  <c r="D282" i="7" s="1"/>
  <c r="C281" i="7"/>
  <c r="D281" i="7" s="1"/>
  <c r="D280" i="7"/>
  <c r="C280" i="7"/>
  <c r="C279" i="7"/>
  <c r="D279" i="7" s="1"/>
  <c r="D278" i="7"/>
  <c r="C278" i="7"/>
  <c r="C277" i="7"/>
  <c r="D277" i="7" s="1"/>
  <c r="D276" i="7"/>
  <c r="C276" i="7"/>
  <c r="C275" i="7"/>
  <c r="D275" i="7" s="1"/>
  <c r="C274" i="7"/>
  <c r="D274" i="7" s="1"/>
  <c r="C273" i="7"/>
  <c r="D273" i="7" s="1"/>
  <c r="D272" i="7"/>
  <c r="C272" i="7"/>
  <c r="C271" i="7"/>
  <c r="D271" i="7" s="1"/>
  <c r="D270" i="7"/>
  <c r="C270" i="7"/>
  <c r="C269" i="7"/>
  <c r="D269" i="7" s="1"/>
  <c r="D268" i="7"/>
  <c r="C268" i="7"/>
  <c r="C267" i="7"/>
  <c r="D267" i="7" s="1"/>
  <c r="C266" i="7"/>
  <c r="D266" i="7" s="1"/>
  <c r="C265" i="7"/>
  <c r="D265" i="7" s="1"/>
  <c r="D264" i="7"/>
  <c r="C264" i="7"/>
  <c r="C263" i="7"/>
  <c r="D263" i="7" s="1"/>
  <c r="D262" i="7"/>
  <c r="C262" i="7"/>
  <c r="C261" i="7"/>
  <c r="D261" i="7" s="1"/>
  <c r="D260" i="7"/>
  <c r="C260" i="7"/>
  <c r="C259" i="7"/>
  <c r="D259" i="7" s="1"/>
  <c r="C258" i="7"/>
  <c r="D258" i="7" s="1"/>
  <c r="C257" i="7"/>
  <c r="D257" i="7" s="1"/>
  <c r="D256" i="7"/>
  <c r="C256" i="7"/>
  <c r="C255" i="7"/>
  <c r="D255" i="7" s="1"/>
  <c r="D254" i="7"/>
  <c r="C254" i="7"/>
  <c r="C253" i="7"/>
  <c r="D253" i="7" s="1"/>
  <c r="D252" i="7"/>
  <c r="C252" i="7"/>
  <c r="C251" i="7"/>
  <c r="D251" i="7" s="1"/>
  <c r="C250" i="7"/>
  <c r="D250" i="7" s="1"/>
  <c r="C249" i="7"/>
  <c r="D249" i="7" s="1"/>
  <c r="D248" i="7"/>
  <c r="C248" i="7"/>
  <c r="C247" i="7"/>
  <c r="D247" i="7" s="1"/>
  <c r="D246" i="7"/>
  <c r="C246" i="7"/>
  <c r="C245" i="7"/>
  <c r="D245" i="7" s="1"/>
  <c r="D244" i="7"/>
  <c r="C244" i="7"/>
  <c r="C243" i="7"/>
  <c r="D243" i="7" s="1"/>
  <c r="C242" i="7"/>
  <c r="D242" i="7" s="1"/>
  <c r="C241" i="7"/>
  <c r="D241" i="7" s="1"/>
  <c r="D240" i="7"/>
  <c r="C240" i="7"/>
  <c r="C239" i="7"/>
  <c r="D239" i="7" s="1"/>
  <c r="D238" i="7"/>
  <c r="C238" i="7"/>
  <c r="C237" i="7"/>
  <c r="D237" i="7" s="1"/>
  <c r="D236" i="7"/>
  <c r="C236" i="7"/>
  <c r="C235" i="7"/>
  <c r="D235" i="7" s="1"/>
  <c r="C234" i="7"/>
  <c r="D234" i="7" s="1"/>
  <c r="C233" i="7"/>
  <c r="D233" i="7" s="1"/>
  <c r="D232" i="7"/>
  <c r="C232" i="7"/>
  <c r="C231" i="7"/>
  <c r="D231" i="7" s="1"/>
  <c r="D230" i="7"/>
  <c r="C230" i="7"/>
  <c r="C229" i="7"/>
  <c r="D229" i="7" s="1"/>
  <c r="D228" i="7"/>
  <c r="C228" i="7"/>
  <c r="C227" i="7"/>
  <c r="D227" i="7" s="1"/>
  <c r="C226" i="7"/>
  <c r="D226" i="7" s="1"/>
  <c r="C225" i="7"/>
  <c r="D225" i="7" s="1"/>
  <c r="D224" i="7"/>
  <c r="C224" i="7"/>
  <c r="C223" i="7"/>
  <c r="D223" i="7" s="1"/>
  <c r="D222" i="7"/>
  <c r="C222" i="7"/>
  <c r="C221" i="7"/>
  <c r="D221" i="7" s="1"/>
  <c r="D220" i="7"/>
  <c r="C220" i="7"/>
  <c r="C219" i="7"/>
  <c r="D219" i="7" s="1"/>
  <c r="C218" i="7"/>
  <c r="D218" i="7" s="1"/>
  <c r="C217" i="7"/>
  <c r="D217" i="7" s="1"/>
  <c r="D216" i="7"/>
  <c r="C216" i="7"/>
  <c r="C215" i="7"/>
  <c r="D215" i="7" s="1"/>
  <c r="D214" i="7"/>
  <c r="C214" i="7"/>
  <c r="C213" i="7"/>
  <c r="D213" i="7" s="1"/>
  <c r="D212" i="7"/>
  <c r="C212" i="7"/>
  <c r="C211" i="7"/>
  <c r="D211" i="7" s="1"/>
  <c r="C210" i="7"/>
  <c r="D210" i="7" s="1"/>
  <c r="C209" i="7"/>
  <c r="D209" i="7" s="1"/>
  <c r="D208" i="7"/>
  <c r="C208" i="7"/>
  <c r="C207" i="7"/>
  <c r="D207" i="7" s="1"/>
  <c r="D206" i="7"/>
  <c r="C206" i="7"/>
  <c r="C205" i="7"/>
  <c r="D205" i="7" s="1"/>
  <c r="D204" i="7"/>
  <c r="C204" i="7"/>
  <c r="C203" i="7"/>
  <c r="D203" i="7" s="1"/>
  <c r="C202" i="7"/>
  <c r="D202" i="7" s="1"/>
  <c r="C201" i="7"/>
  <c r="D201" i="7" s="1"/>
  <c r="D200" i="7"/>
  <c r="C200" i="7"/>
  <c r="C199" i="7"/>
  <c r="D199" i="7" s="1"/>
  <c r="D198" i="7"/>
  <c r="C198" i="7"/>
  <c r="C197" i="7"/>
  <c r="D197" i="7" s="1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C81" i="7"/>
  <c r="D81" i="7" s="1"/>
  <c r="D80" i="7"/>
  <c r="C80" i="7"/>
  <c r="C79" i="7"/>
  <c r="D79" i="7" s="1"/>
  <c r="D78" i="7"/>
  <c r="C78" i="7"/>
  <c r="C77" i="7"/>
  <c r="D77" i="7" s="1"/>
  <c r="D76" i="7"/>
  <c r="C76" i="7"/>
  <c r="C75" i="7"/>
  <c r="D75" i="7" s="1"/>
  <c r="D74" i="7"/>
  <c r="C74" i="7"/>
  <c r="C73" i="7"/>
  <c r="D73" i="7" s="1"/>
  <c r="D72" i="7"/>
  <c r="C72" i="7"/>
  <c r="C71" i="7"/>
  <c r="D71" i="7" s="1"/>
  <c r="D70" i="7"/>
  <c r="C70" i="7"/>
  <c r="C69" i="7"/>
  <c r="D69" i="7" s="1"/>
  <c r="D68" i="7"/>
  <c r="C68" i="7"/>
  <c r="C67" i="7"/>
  <c r="D67" i="7" s="1"/>
  <c r="D66" i="7"/>
  <c r="C66" i="7"/>
  <c r="C65" i="7"/>
  <c r="D65" i="7" s="1"/>
  <c r="D64" i="7"/>
  <c r="C64" i="7"/>
  <c r="C63" i="7"/>
  <c r="D63" i="7" s="1"/>
  <c r="D62" i="7"/>
  <c r="C62" i="7"/>
  <c r="C61" i="7"/>
  <c r="D61" i="7" s="1"/>
  <c r="D60" i="7"/>
  <c r="C60" i="7"/>
  <c r="C59" i="7"/>
  <c r="D59" i="7" s="1"/>
  <c r="D58" i="7"/>
  <c r="C58" i="7"/>
  <c r="C57" i="7"/>
  <c r="D57" i="7" s="1"/>
  <c r="D56" i="7"/>
  <c r="C56" i="7"/>
  <c r="C55" i="7"/>
  <c r="D55" i="7" s="1"/>
  <c r="D54" i="7"/>
  <c r="C54" i="7"/>
  <c r="C53" i="7"/>
  <c r="D53" i="7" s="1"/>
  <c r="D52" i="7"/>
  <c r="C52" i="7"/>
  <c r="C51" i="7"/>
  <c r="D51" i="7" s="1"/>
  <c r="D50" i="7"/>
  <c r="C50" i="7"/>
  <c r="C49" i="7"/>
  <c r="D49" i="7" s="1"/>
  <c r="D48" i="7"/>
  <c r="C48" i="7"/>
  <c r="C47" i="7"/>
  <c r="D47" i="7" s="1"/>
  <c r="D46" i="7"/>
  <c r="C46" i="7"/>
  <c r="C45" i="7"/>
  <c r="D45" i="7" s="1"/>
  <c r="D44" i="7"/>
  <c r="C44" i="7"/>
  <c r="C43" i="7"/>
  <c r="D43" i="7" s="1"/>
  <c r="D42" i="7"/>
  <c r="C42" i="7"/>
  <c r="C41" i="7"/>
  <c r="D41" i="7" s="1"/>
  <c r="D40" i="7"/>
  <c r="C40" i="7"/>
  <c r="C39" i="7"/>
  <c r="D39" i="7" s="1"/>
  <c r="D38" i="7"/>
  <c r="C38" i="7"/>
  <c r="C37" i="7"/>
  <c r="D37" i="7" s="1"/>
  <c r="D36" i="7"/>
  <c r="C36" i="7"/>
  <c r="C35" i="7"/>
  <c r="D35" i="7" s="1"/>
  <c r="D34" i="7"/>
  <c r="C34" i="7"/>
  <c r="C33" i="7"/>
  <c r="D33" i="7" s="1"/>
  <c r="D32" i="7"/>
  <c r="C32" i="7"/>
  <c r="C31" i="7"/>
  <c r="D31" i="7" s="1"/>
  <c r="D30" i="7"/>
  <c r="C30" i="7"/>
  <c r="C29" i="7"/>
  <c r="D29" i="7" s="1"/>
  <c r="D28" i="7"/>
  <c r="C28" i="7"/>
  <c r="C27" i="7"/>
  <c r="D27" i="7" s="1"/>
  <c r="D26" i="7"/>
  <c r="C26" i="7"/>
  <c r="C25" i="7"/>
  <c r="D25" i="7" s="1"/>
  <c r="D24" i="7"/>
  <c r="C24" i="7"/>
  <c r="C23" i="7"/>
  <c r="D23" i="7" s="1"/>
  <c r="D22" i="7"/>
  <c r="C22" i="7"/>
  <c r="C21" i="7"/>
  <c r="D21" i="7" s="1"/>
  <c r="D20" i="7"/>
  <c r="C20" i="7"/>
  <c r="C19" i="7"/>
  <c r="D19" i="7" s="1"/>
  <c r="D18" i="7"/>
  <c r="C18" i="7"/>
  <c r="C17" i="7"/>
  <c r="D17" i="7" s="1"/>
  <c r="D16" i="7"/>
  <c r="C16" i="7"/>
  <c r="C15" i="7"/>
  <c r="D15" i="7" s="1"/>
  <c r="D14" i="7"/>
  <c r="C14" i="7"/>
  <c r="C13" i="7"/>
  <c r="D13" i="7" s="1"/>
  <c r="D12" i="7"/>
  <c r="C12" i="7"/>
  <c r="C11" i="7"/>
  <c r="D11" i="7" s="1"/>
  <c r="D10" i="7"/>
  <c r="C10" i="7"/>
  <c r="C9" i="7"/>
  <c r="D9" i="7" s="1"/>
  <c r="D8" i="7"/>
  <c r="C8" i="7"/>
  <c r="C7" i="7"/>
  <c r="D7" i="7" s="1"/>
  <c r="D6" i="7"/>
  <c r="C6" i="7"/>
  <c r="C5" i="7"/>
  <c r="D5" i="7" s="1"/>
  <c r="D4" i="7"/>
  <c r="C4" i="7"/>
  <c r="C3" i="7"/>
  <c r="D3" i="7" s="1"/>
  <c r="D2" i="7"/>
  <c r="C2" i="7"/>
  <c r="N33" i="3" a="1"/>
  <c r="N33" i="3" s="1"/>
  <c r="N26" i="3" a="1"/>
  <c r="N26" i="3" s="1"/>
  <c r="M6" i="6" a="1"/>
  <c r="M6" i="6" s="1"/>
  <c r="N4" i="6"/>
  <c r="M4" i="6"/>
  <c r="N7" i="5" a="1"/>
  <c r="N7" i="5" s="1"/>
  <c r="N11" i="5" a="1"/>
  <c r="N11" i="5" s="1"/>
  <c r="N3" i="5" a="1"/>
  <c r="N3" i="5" s="1"/>
  <c r="N4" i="5" a="1"/>
  <c r="N4" i="5" s="1"/>
  <c r="N5" i="5" a="1"/>
  <c r="N5" i="5" s="1"/>
  <c r="N6" i="5" a="1"/>
  <c r="N6" i="5" s="1"/>
  <c r="N8" i="5" a="1"/>
  <c r="N8" i="5" s="1"/>
  <c r="N9" i="5" a="1"/>
  <c r="N9" i="5" s="1"/>
  <c r="N10" i="5" a="1"/>
  <c r="N10" i="5" s="1"/>
  <c r="N12" i="5" a="1"/>
  <c r="N12" i="5" s="1"/>
  <c r="N2" i="5" a="1"/>
  <c r="N2" i="5" s="1"/>
  <c r="J3" i="5"/>
  <c r="K3" i="5"/>
  <c r="J4" i="5"/>
  <c r="K4" i="5"/>
  <c r="J5" i="5"/>
  <c r="K5" i="5"/>
  <c r="J6" i="5"/>
  <c r="K6" i="5"/>
  <c r="J7" i="5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K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2" i="5"/>
  <c r="H3" i="5"/>
  <c r="H4" i="5"/>
  <c r="H5" i="5"/>
  <c r="H6" i="5"/>
  <c r="H7" i="5"/>
  <c r="H8" i="5"/>
  <c r="H9" i="5"/>
  <c r="H10" i="5"/>
  <c r="H11" i="5"/>
  <c r="H12" i="5"/>
  <c r="H13" i="5"/>
  <c r="H2" i="5"/>
  <c r="H11" i="4" a="1"/>
  <c r="H11" i="4" s="1"/>
  <c r="H9" i="4"/>
  <c r="H8" i="4"/>
  <c r="H6" i="4"/>
  <c r="H5" i="4"/>
  <c r="H4" i="4"/>
  <c r="H3" i="4"/>
  <c r="H10" i="4"/>
  <c r="N2" i="3" a="1"/>
  <c r="N2" i="3" s="1"/>
  <c r="V2" i="1"/>
  <c r="U2" i="1"/>
  <c r="T2" i="1"/>
  <c r="S3" i="1"/>
  <c r="S4" i="1"/>
  <c r="S5" i="1"/>
  <c r="S6" i="1"/>
  <c r="S7" i="1"/>
  <c r="S8" i="1"/>
  <c r="S9" i="1"/>
  <c r="S10" i="1"/>
  <c r="S11" i="1"/>
  <c r="S12" i="1"/>
  <c r="S13" i="1"/>
  <c r="S2" i="1"/>
  <c r="D10" i="3"/>
  <c r="D3" i="3"/>
  <c r="D4" i="3"/>
  <c r="D5" i="3"/>
  <c r="D6" i="3"/>
  <c r="D7" i="3"/>
  <c r="D8" i="3"/>
  <c r="D9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2" i="3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E3" i="1"/>
  <c r="E4" i="1"/>
  <c r="E5" i="1"/>
  <c r="E6" i="1"/>
  <c r="E7" i="1"/>
  <c r="E8" i="1"/>
  <c r="E9" i="1"/>
  <c r="E10" i="1"/>
  <c r="E11" i="1"/>
  <c r="E12" i="1"/>
  <c r="E13" i="1"/>
  <c r="E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<sst xmlns="http://schemas.openxmlformats.org/spreadsheetml/2006/main" count="4573" uniqueCount="354">
  <si>
    <t>Order_ID</t>
  </si>
  <si>
    <t>First_Name</t>
  </si>
  <si>
    <t>Last_Name</t>
  </si>
  <si>
    <t>City</t>
  </si>
  <si>
    <t>Product</t>
  </si>
  <si>
    <t>Region</t>
  </si>
  <si>
    <t>Email</t>
  </si>
  <si>
    <t>Phone</t>
  </si>
  <si>
    <t>Order_Date_Raw</t>
  </si>
  <si>
    <t>Quantity</t>
  </si>
  <si>
    <t>Unit_Price</t>
  </si>
  <si>
    <t>Sales_Channel</t>
  </si>
  <si>
    <t>Notes</t>
  </si>
  <si>
    <t>ORD-1001</t>
  </si>
  <si>
    <t xml:space="preserve">Usman </t>
  </si>
  <si>
    <t>Siddiqui</t>
  </si>
  <si>
    <t xml:space="preserve">  Sukkur</t>
  </si>
  <si>
    <t>Mouse</t>
  </si>
  <si>
    <t>West</t>
  </si>
  <si>
    <t>usman36@example.com</t>
  </si>
  <si>
    <t>01/10/2026</t>
  </si>
  <si>
    <t>Website</t>
  </si>
  <si>
    <t>—</t>
  </si>
  <si>
    <t>ORD-1002</t>
  </si>
  <si>
    <t xml:space="preserve">  ali</t>
  </si>
  <si>
    <t xml:space="preserve">Sheikh </t>
  </si>
  <si>
    <t>LAHORE</t>
  </si>
  <si>
    <t>Monitor</t>
  </si>
  <si>
    <t>East</t>
  </si>
  <si>
    <t>ali8@yahoo.com</t>
  </si>
  <si>
    <t>03001234567</t>
  </si>
  <si>
    <t>05-10-2026</t>
  </si>
  <si>
    <t>Store</t>
  </si>
  <si>
    <t>ORD-1003</t>
  </si>
  <si>
    <t>OMAR</t>
  </si>
  <si>
    <t>Butt</t>
  </si>
  <si>
    <t xml:space="preserve"> karachi </t>
  </si>
  <si>
    <t>Laptop</t>
  </si>
  <si>
    <t>South</t>
  </si>
  <si>
    <t>omar12@example.com</t>
  </si>
  <si>
    <t>0333-1234567</t>
  </si>
  <si>
    <t>2026-10-01</t>
  </si>
  <si>
    <t>store</t>
  </si>
  <si>
    <t>ORD-1004</t>
  </si>
  <si>
    <t>Fatima</t>
  </si>
  <si>
    <t xml:space="preserve">MALIK </t>
  </si>
  <si>
    <t>USB Drive</t>
  </si>
  <si>
    <t xml:space="preserve"> SOUTH </t>
  </si>
  <si>
    <t>fatima72@yahoo.com</t>
  </si>
  <si>
    <t>N/A</t>
  </si>
  <si>
    <t>ORD-1005</t>
  </si>
  <si>
    <t>Noor</t>
  </si>
  <si>
    <t>Peshawar</t>
  </si>
  <si>
    <t>noor83@gmail.com</t>
  </si>
  <si>
    <t xml:space="preserve"> 0312-5557788</t>
  </si>
  <si>
    <t>2026-10-03</t>
  </si>
  <si>
    <t>WhatsApp</t>
  </si>
  <si>
    <t xml:space="preserve"> check address </t>
  </si>
  <si>
    <t>ORD-1006</t>
  </si>
  <si>
    <t>Hyderabad</t>
  </si>
  <si>
    <t>omar48@yahoo.com</t>
  </si>
  <si>
    <t xml:space="preserve"> 2026-10-05 </t>
  </si>
  <si>
    <t>ORD-1007</t>
  </si>
  <si>
    <t>QURESHI</t>
  </si>
  <si>
    <t>Karachi</t>
  </si>
  <si>
    <t>north</t>
  </si>
  <si>
    <t>ali27@gmail.com</t>
  </si>
  <si>
    <t>Urgent</t>
  </si>
  <si>
    <t>ORD-1008</t>
  </si>
  <si>
    <t xml:space="preserve">SARA </t>
  </si>
  <si>
    <t>sara82@gmail.com</t>
  </si>
  <si>
    <t>ORD-1009</t>
  </si>
  <si>
    <t>Ayesha</t>
  </si>
  <si>
    <t xml:space="preserve">  Raza </t>
  </si>
  <si>
    <t>ORD-1010</t>
  </si>
  <si>
    <t>Shah</t>
  </si>
  <si>
    <t>Keyboard</t>
  </si>
  <si>
    <t>ayesha2@gmail.com</t>
  </si>
  <si>
    <t>ORD-1011</t>
  </si>
  <si>
    <t>omar16@yahoo.com</t>
  </si>
  <si>
    <t>ORD-1012</t>
  </si>
  <si>
    <t>Headphones</t>
  </si>
  <si>
    <t>0321 444 9988</t>
  </si>
  <si>
    <t>ORD-1013</t>
  </si>
  <si>
    <t>usman89@gmail.com</t>
  </si>
  <si>
    <t>ORD-1014</t>
  </si>
  <si>
    <t xml:space="preserve">Islamabad </t>
  </si>
  <si>
    <t>fatima73@outlook.com</t>
  </si>
  <si>
    <t>ORD-1015</t>
  </si>
  <si>
    <t xml:space="preserve">  Ahmed</t>
  </si>
  <si>
    <t>Multan</t>
  </si>
  <si>
    <t>Webcam</t>
  </si>
  <si>
    <t>North</t>
  </si>
  <si>
    <t>noor48@example.com</t>
  </si>
  <si>
    <t xml:space="preserve">Website </t>
  </si>
  <si>
    <t>ORD-1016</t>
  </si>
  <si>
    <t>mUHAMMAD</t>
  </si>
  <si>
    <t>Khan</t>
  </si>
  <si>
    <t>muhammad49@gmail.com</t>
  </si>
  <si>
    <t>ORD-1017</t>
  </si>
  <si>
    <t xml:space="preserve">  hina  </t>
  </si>
  <si>
    <t>hina77@example.com</t>
  </si>
  <si>
    <t>fatima12@outlook.com</t>
  </si>
  <si>
    <t>Facebook</t>
  </si>
  <si>
    <t>ORD-1019</t>
  </si>
  <si>
    <t>fatima63@yahoo.com</t>
  </si>
  <si>
    <t>ORD-1020</t>
  </si>
  <si>
    <t>usman36@yahoo.com</t>
  </si>
  <si>
    <t>ORD-1021</t>
  </si>
  <si>
    <t>zain</t>
  </si>
  <si>
    <t>zain65@yahoo.com</t>
  </si>
  <si>
    <t>ORD-1022</t>
  </si>
  <si>
    <t>ayesha14@outlook.com</t>
  </si>
  <si>
    <t>ORD-1023</t>
  </si>
  <si>
    <t>usman70@yahoo.com</t>
  </si>
  <si>
    <t>ORD-1024</t>
  </si>
  <si>
    <t>fatima78@outlook.com</t>
  </si>
  <si>
    <t>ORD-1025</t>
  </si>
  <si>
    <t>ORD-1026</t>
  </si>
  <si>
    <t>fatima67@gmail.com</t>
  </si>
  <si>
    <t>ORD-1027</t>
  </si>
  <si>
    <t>hina22@yahoo.com</t>
  </si>
  <si>
    <t>ORD-1028</t>
  </si>
  <si>
    <t>hina14@outlook.com</t>
  </si>
  <si>
    <t>ORD-1029</t>
  </si>
  <si>
    <t>usman82@outlook.com</t>
  </si>
  <si>
    <t>ORD-1030</t>
  </si>
  <si>
    <t>fatima97@outlook.com</t>
  </si>
  <si>
    <t>ORD-1031</t>
  </si>
  <si>
    <t>fatima30@gmail.com</t>
  </si>
  <si>
    <t>ORD-1032</t>
  </si>
  <si>
    <t>ali93@gmail.com</t>
  </si>
  <si>
    <t>ORD-1033</t>
  </si>
  <si>
    <t>usman41@yahoo.com</t>
  </si>
  <si>
    <t>ORD-1034</t>
  </si>
  <si>
    <t>noor16@example.com</t>
  </si>
  <si>
    <t>ORD-1035</t>
  </si>
  <si>
    <t>hina44@example.com</t>
  </si>
  <si>
    <t>ORD-1036</t>
  </si>
  <si>
    <t>Iqbal</t>
  </si>
  <si>
    <t>fatima47@gmail.com</t>
  </si>
  <si>
    <t>hina36@outlook.com</t>
  </si>
  <si>
    <t>ORD-1038</t>
  </si>
  <si>
    <t>sara80@outlook.com</t>
  </si>
  <si>
    <t>ORD-1039</t>
  </si>
  <si>
    <t>omar80@example.com</t>
  </si>
  <si>
    <t>ORD-1040</t>
  </si>
  <si>
    <t>omar85@example.com</t>
  </si>
  <si>
    <t>ORD-1041</t>
  </si>
  <si>
    <t>zain87@outlook.com</t>
  </si>
  <si>
    <t>ORD-1042</t>
  </si>
  <si>
    <t>hina82@yahoo.com</t>
  </si>
  <si>
    <t>ORD-1043</t>
  </si>
  <si>
    <t>hina47@outlook.com</t>
  </si>
  <si>
    <t>ORD-1044</t>
  </si>
  <si>
    <t>ORD-1045</t>
  </si>
  <si>
    <t>muhammad53@gmail.com</t>
  </si>
  <si>
    <t>ORD-1046</t>
  </si>
  <si>
    <t>sara71@example.com</t>
  </si>
  <si>
    <t>ORD-1047</t>
  </si>
  <si>
    <t>noor68@outlook.com</t>
  </si>
  <si>
    <t>ORD-1048</t>
  </si>
  <si>
    <t>zain14@example.com</t>
  </si>
  <si>
    <t>ORD-1049</t>
  </si>
  <si>
    <t>noor52@gmail.com</t>
  </si>
  <si>
    <t>ORD-1050</t>
  </si>
  <si>
    <t>usman19@gmail.com</t>
  </si>
  <si>
    <t xml:space="preserve"> 312-5557788</t>
  </si>
  <si>
    <t>RS.15K</t>
  </si>
  <si>
    <t>RS.35000</t>
  </si>
  <si>
    <t>RS.35K</t>
  </si>
  <si>
    <t>25k</t>
  </si>
  <si>
    <t>15k</t>
  </si>
  <si>
    <t>250k</t>
  </si>
  <si>
    <t>2m</t>
  </si>
  <si>
    <t>sara82@@gmail.com</t>
  </si>
  <si>
    <t>usman..38@gmail.com</t>
  </si>
  <si>
    <t>ayesha22@example.com23</t>
  </si>
  <si>
    <t>Product ID</t>
  </si>
  <si>
    <t>Product Name</t>
  </si>
  <si>
    <t>Category</t>
  </si>
  <si>
    <t>PD-100</t>
  </si>
  <si>
    <t>Input Device</t>
  </si>
  <si>
    <t>PD-101</t>
  </si>
  <si>
    <t>PD-102</t>
  </si>
  <si>
    <t>Hard Drive</t>
  </si>
  <si>
    <t>Storage</t>
  </si>
  <si>
    <t>PD-103</t>
  </si>
  <si>
    <t>USB Flash Drive</t>
  </si>
  <si>
    <t>PD-104</t>
  </si>
  <si>
    <t>Display</t>
  </si>
  <si>
    <t>PD-105</t>
  </si>
  <si>
    <t>Graphics Card</t>
  </si>
  <si>
    <t>Internal Hardware</t>
  </si>
  <si>
    <t>PD-106</t>
  </si>
  <si>
    <t>RAM Module</t>
  </si>
  <si>
    <t>PD-107</t>
  </si>
  <si>
    <t>SSD</t>
  </si>
  <si>
    <t>PD-108</t>
  </si>
  <si>
    <t>HDMI Cable</t>
  </si>
  <si>
    <t>Cables &amp; Connectors</t>
  </si>
  <si>
    <t>PD-109</t>
  </si>
  <si>
    <t>Peripherals</t>
  </si>
  <si>
    <t>PD-110</t>
  </si>
  <si>
    <t>Laptop Stand</t>
  </si>
  <si>
    <t>Laptop Accessories</t>
  </si>
  <si>
    <t>PD-111</t>
  </si>
  <si>
    <t>Cooling Pad</t>
  </si>
  <si>
    <t>PD-112</t>
  </si>
  <si>
    <t>Headset</t>
  </si>
  <si>
    <t>Audio</t>
  </si>
  <si>
    <t>PD-113</t>
  </si>
  <si>
    <t>Printer</t>
  </si>
  <si>
    <t>PD-114</t>
  </si>
  <si>
    <t>Scanner</t>
  </si>
  <si>
    <t>PD-115</t>
  </si>
  <si>
    <t>Speakers</t>
  </si>
  <si>
    <t>PD-116</t>
  </si>
  <si>
    <t>Wireless Router</t>
  </si>
  <si>
    <t>Network</t>
  </si>
  <si>
    <t>PD-117</t>
  </si>
  <si>
    <t>Ethernet Cable</t>
  </si>
  <si>
    <t>PD-118</t>
  </si>
  <si>
    <t>Laptop Bag</t>
  </si>
  <si>
    <t>Order ID</t>
  </si>
  <si>
    <t>Quantity Sold</t>
  </si>
  <si>
    <t>Rate</t>
  </si>
  <si>
    <t>Sales</t>
  </si>
  <si>
    <t>Date</t>
  </si>
  <si>
    <t>State</t>
  </si>
  <si>
    <t>Ship Mode</t>
  </si>
  <si>
    <t>Segment</t>
  </si>
  <si>
    <t>Seller_ID</t>
  </si>
  <si>
    <t>Faisalabad</t>
  </si>
  <si>
    <t>First Class</t>
  </si>
  <si>
    <t>Home Office</t>
  </si>
  <si>
    <t>COM3737</t>
  </si>
  <si>
    <t>Rawalpindi</t>
  </si>
  <si>
    <t>Standard Class</t>
  </si>
  <si>
    <t>Consumer</t>
  </si>
  <si>
    <t>COM6175</t>
  </si>
  <si>
    <t>Second Class</t>
  </si>
  <si>
    <t>COM8842</t>
  </si>
  <si>
    <t>Gujranwala</t>
  </si>
  <si>
    <t>COM2184</t>
  </si>
  <si>
    <t>Sialkot</t>
  </si>
  <si>
    <t>COM3726</t>
  </si>
  <si>
    <t>Bahawalpur</t>
  </si>
  <si>
    <t>Corporate</t>
  </si>
  <si>
    <t>COM3175</t>
  </si>
  <si>
    <t>Sargodha</t>
  </si>
  <si>
    <t>COM7392</t>
  </si>
  <si>
    <t>COM3575</t>
  </si>
  <si>
    <t>COM7966</t>
  </si>
  <si>
    <t>Sukkur</t>
  </si>
  <si>
    <t>COM1490</t>
  </si>
  <si>
    <t>Larkana</t>
  </si>
  <si>
    <t>COM5769</t>
  </si>
  <si>
    <t>Nawabshah</t>
  </si>
  <si>
    <t>COM8095</t>
  </si>
  <si>
    <t>Mirpur Khas</t>
  </si>
  <si>
    <t>COM1606</t>
  </si>
  <si>
    <t>COM7245</t>
  </si>
  <si>
    <t>COM8968</t>
  </si>
  <si>
    <t>year</t>
  </si>
  <si>
    <t>Month</t>
  </si>
  <si>
    <t>Day</t>
  </si>
  <si>
    <t>Groupby</t>
  </si>
  <si>
    <t>Month_Number</t>
  </si>
  <si>
    <t>Actual_Sales</t>
  </si>
  <si>
    <t>Orders</t>
  </si>
  <si>
    <t>Task</t>
  </si>
  <si>
    <t>Formula</t>
  </si>
  <si>
    <t>Predict Month 31 sales</t>
  </si>
  <si>
    <t>Predict Month 32 sales</t>
  </si>
  <si>
    <t>Calculate monthly trend</t>
  </si>
  <si>
    <t>Calculate trend intercept</t>
  </si>
  <si>
    <t>Forecast Months 31–33</t>
  </si>
  <si>
    <t>Calculate average sales</t>
  </si>
  <si>
    <t>Find maximum sales</t>
  </si>
  <si>
    <t>Find minimum sales</t>
  </si>
  <si>
    <t>Department</t>
  </si>
  <si>
    <t>Joining_Date</t>
  </si>
  <si>
    <t>Salary</t>
  </si>
  <si>
    <t>Employee_ID</t>
  </si>
  <si>
    <t>Ali</t>
  </si>
  <si>
    <t>EMP-1001</t>
  </si>
  <si>
    <t>Sara</t>
  </si>
  <si>
    <t>Ahmed</t>
  </si>
  <si>
    <t>HR</t>
  </si>
  <si>
    <t>EMP-1002</t>
  </si>
  <si>
    <t>Muhammad</t>
  </si>
  <si>
    <t>Malik</t>
  </si>
  <si>
    <t>IT</t>
  </si>
  <si>
    <t>EMP-1003</t>
  </si>
  <si>
    <t>Finance</t>
  </si>
  <si>
    <t>EMP-1004</t>
  </si>
  <si>
    <t>Hina</t>
  </si>
  <si>
    <t>Marketing</t>
  </si>
  <si>
    <t>EMP-1005</t>
  </si>
  <si>
    <t>Omar</t>
  </si>
  <si>
    <t>Raza</t>
  </si>
  <si>
    <t>EMP-1006</t>
  </si>
  <si>
    <t>EMP-1007</t>
  </si>
  <si>
    <t>Usman</t>
  </si>
  <si>
    <t>EMP-1008</t>
  </si>
  <si>
    <t>Zain</t>
  </si>
  <si>
    <t>Sheikh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</si>
  <si>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</si>
  <si>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</si>
  <si>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</si>
  <si>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</si>
  <si>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</si>
  <si>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</si>
  <si>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</si>
  <si>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</si>
  <si>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</si>
  <si>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</si>
  <si>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</si>
  <si>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</si>
  <si>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</si>
  <si>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</si>
  <si>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</si>
  <si>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</si>
  <si>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</si>
  <si>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</si>
  <si>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</si>
  <si>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</si>
  <si>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</si>
  <si>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</si>
  <si>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 xml:space="preserve">Full Name </t>
  </si>
  <si>
    <t>Gender</t>
  </si>
  <si>
    <t>Male</t>
  </si>
  <si>
    <t>Female</t>
  </si>
  <si>
    <t>text before</t>
  </si>
  <si>
    <t>text after</t>
  </si>
  <si>
    <t>Ali-Ahmed-XII</t>
  </si>
  <si>
    <t xml:space="preserve">TextSlit </t>
  </si>
  <si>
    <t>Sara-Ahmed-Female-HR</t>
  </si>
  <si>
    <t>Muhammad-Malik-Male-IT</t>
  </si>
  <si>
    <t>Ayesha-Shah-Female-Finance</t>
  </si>
  <si>
    <t>Hina-Siddiqui-Female-Marketing</t>
  </si>
  <si>
    <t>Omar-Raza-Male-Sales</t>
  </si>
  <si>
    <t>Fatima-Butt-Female-HR</t>
  </si>
  <si>
    <t>Usman-Iqbal-Male-IT</t>
  </si>
  <si>
    <t>Zain-Sheikh-Male-Finance</t>
  </si>
  <si>
    <t>Noor-Ahmed-Female-Marketing</t>
  </si>
  <si>
    <t>Ali-Malik-Male-Sales</t>
  </si>
  <si>
    <t>Sara-Khan-Female-HR</t>
  </si>
  <si>
    <t>ORD-1018</t>
  </si>
  <si>
    <t>Subtotal</t>
  </si>
  <si>
    <t>Arregate</t>
  </si>
  <si>
    <t>Vstack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</si>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</sst>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5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17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3" borderId="0" xfId="0" applyFill="1"/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yesha22@example.com23" TargetMode="External"/><Relationship Id="rId1" Type="http://schemas.openxmlformats.org/officeDocument/2006/relationships/hyperlink" Target="mailto:usman..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DA64-EA47-405B-BB9A-03D74B5BAD1A}">
  <dimension ref="A1:V51"/>
  <sheetViews>
    <sheetView topLeftCell="K1" workbookViewId="0">
      <selection activeCell="W5" sqref="W5"/>
    </sheetView>
  </sheetViews>
  <sheetFormatPr defaultRowHeight="15"/>
  <cols>
    <col min="1" max="1" width="9.5703125" bestFit="1" customWidth="1"/>
    <col min="2" max="2" width="9.5703125" customWidth="1"/>
    <col min="3" max="3" width="12" bestFit="1" customWidth="1"/>
    <col min="4" max="4" width="12.140625" bestFit="1" customWidth="1"/>
    <col min="5" max="5" width="12.140625" customWidth="1"/>
    <col min="6" max="6" width="10.7109375" bestFit="1" customWidth="1"/>
    <col min="7" max="7" width="12.7109375" customWidth="1"/>
    <col min="8" max="8" width="9" bestFit="1" customWidth="1"/>
    <col min="9" max="9" width="7.42578125" bestFit="1" customWidth="1"/>
    <col min="10" max="11" width="26.85546875" customWidth="1"/>
    <col min="12" max="12" width="13.28515625" bestFit="1" customWidth="1"/>
    <col min="13" max="13" width="16.42578125" customWidth="1"/>
    <col min="14" max="14" width="8.7109375" bestFit="1" customWidth="1"/>
    <col min="15" max="16" width="11.28515625" customWidth="1"/>
    <col min="17" max="17" width="14" customWidth="1"/>
    <col min="18" max="18" width="14.140625" customWidth="1"/>
    <col min="19" max="19" width="15.5703125" bestFit="1" customWidth="1"/>
  </cols>
  <sheetData>
    <row r="1" spans="1:22">
      <c r="A1" s="3" t="s">
        <v>0</v>
      </c>
      <c r="B1" s="3" t="s">
        <v>0</v>
      </c>
      <c r="C1" s="3" t="s">
        <v>1</v>
      </c>
      <c r="D1" s="3"/>
      <c r="E1" s="3"/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/>
      <c r="L1" s="3" t="s">
        <v>7</v>
      </c>
      <c r="M1" s="3" t="s">
        <v>8</v>
      </c>
      <c r="N1" s="3" t="s">
        <v>9</v>
      </c>
      <c r="O1" s="3" t="s">
        <v>10</v>
      </c>
      <c r="P1" s="3" t="s">
        <v>10</v>
      </c>
      <c r="Q1" s="3" t="s">
        <v>11</v>
      </c>
      <c r="R1" s="3" t="s">
        <v>12</v>
      </c>
      <c r="T1" s="7" t="s">
        <v>264</v>
      </c>
      <c r="U1" s="7" t="s">
        <v>265</v>
      </c>
      <c r="V1" s="7" t="s">
        <v>266</v>
      </c>
    </row>
    <row r="2" spans="1:22">
      <c r="A2" s="4" t="s">
        <v>13</v>
      </c>
      <c r="B2" s="1" t="str">
        <f>LEFT(A2,3)</f>
        <v>ORD</v>
      </c>
      <c r="C2" s="4" t="s">
        <v>14</v>
      </c>
      <c r="D2" s="5" t="str">
        <f>CLEAN(TRIM(C2))</f>
        <v>Usman</v>
      </c>
      <c r="E2" s="1" t="str">
        <f>PROPER(TRIM(C2))</f>
        <v>Usman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 t="str">
        <f>TRIM(IF(J2="","",SUBSTITUTE(SUBSTITUTE(SUBSTITUTE(TRIM(J2),"@@","@"),"..","."),"milto:","")))</f>
        <v>usman36@example.com</v>
      </c>
      <c r="L2" s="4"/>
      <c r="M2" s="4" t="s">
        <v>20</v>
      </c>
      <c r="N2" s="4">
        <v>3</v>
      </c>
      <c r="O2" s="4">
        <v>7500</v>
      </c>
      <c r="P2" s="4" t="str">
        <f>SUBSTITUTE(SUBSTITUTE(SUBSTITUTE(O2,"K","000"),"m","000000"),"RS.","")</f>
        <v>7500</v>
      </c>
      <c r="Q2" s="4" t="s">
        <v>21</v>
      </c>
      <c r="R2" s="4" t="s">
        <v>22</v>
      </c>
      <c r="S2" t="str">
        <f>TEXT(M2,"dd-mmmm-yyyy")</f>
        <v>10-January-2026</v>
      </c>
      <c r="T2" t="str">
        <f>TEXT(S2,"YYYY")</f>
        <v>2026</v>
      </c>
      <c r="U2" t="str">
        <f>TEXT(S2,"MMMM")</f>
        <v>January</v>
      </c>
      <c r="V2" t="str">
        <f>TEXT(S2,"DDDD")</f>
        <v>Saturday</v>
      </c>
    </row>
    <row r="3" spans="1:22">
      <c r="A3" s="4" t="s">
        <v>23</v>
      </c>
      <c r="B3" s="4"/>
      <c r="C3" s="4" t="s">
        <v>24</v>
      </c>
      <c r="D3" s="5" t="str">
        <f t="shared" ref="D3:D51" si="0">CLEAN(TRIM(C3))</f>
        <v>ali</v>
      </c>
      <c r="E3" s="1" t="str">
        <f t="shared" ref="E3:E13" si="1">PROPER(TRIM(C3))</f>
        <v>Ali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2" t="str">
        <f t="shared" ref="K3:K51" si="2">TRIM(IF(J3="","",SUBSTITUTE(SUBSTITUTE(SUBSTITUTE(TRIM(J3),"@@","@"),"..","."),"milto:","")))</f>
        <v>ali8@yahoo.com</v>
      </c>
      <c r="L3" s="4" t="s">
        <v>30</v>
      </c>
      <c r="M3" s="4" t="s">
        <v>31</v>
      </c>
      <c r="N3" s="4">
        <v>3</v>
      </c>
      <c r="O3" s="4">
        <v>2500</v>
      </c>
      <c r="P3" s="4" t="str">
        <f t="shared" ref="P3:P16" si="3">SUBSTITUTE(SUBSTITUTE(SUBSTITUTE(O3,"K","000"),"m","000000"),"RS.","")</f>
        <v>2500</v>
      </c>
      <c r="Q3" s="4" t="s">
        <v>32</v>
      </c>
      <c r="R3" s="4"/>
      <c r="S3" t="str">
        <f t="shared" ref="S3:S13" si="4">TEXT(M3,"dd-mmmm-yyyy")</f>
        <v>10-May-2026</v>
      </c>
    </row>
    <row r="4" spans="1:22">
      <c r="A4" s="4" t="s">
        <v>33</v>
      </c>
      <c r="B4" s="4"/>
      <c r="C4" s="4" t="s">
        <v>34</v>
      </c>
      <c r="D4" s="5" t="str">
        <f t="shared" si="0"/>
        <v>OMAR</v>
      </c>
      <c r="E4" s="1" t="str">
        <f t="shared" si="1"/>
        <v>Omar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2" t="str">
        <f t="shared" si="2"/>
        <v>omar12@example.com</v>
      </c>
      <c r="L4" s="4" t="s">
        <v>40</v>
      </c>
      <c r="M4" s="4" t="s">
        <v>41</v>
      </c>
      <c r="N4" s="4">
        <v>5</v>
      </c>
      <c r="O4" s="4">
        <v>2500</v>
      </c>
      <c r="P4" s="4" t="str">
        <f t="shared" si="3"/>
        <v>2500</v>
      </c>
      <c r="Q4" s="4" t="s">
        <v>42</v>
      </c>
      <c r="R4" s="4"/>
      <c r="S4" t="str">
        <f t="shared" si="4"/>
        <v>01-October-2026</v>
      </c>
    </row>
    <row r="5" spans="1:22" ht="30">
      <c r="A5" s="4" t="s">
        <v>43</v>
      </c>
      <c r="B5" s="4"/>
      <c r="C5" s="4" t="s">
        <v>44</v>
      </c>
      <c r="D5" s="5" t="str">
        <f t="shared" si="0"/>
        <v>Fatima</v>
      </c>
      <c r="E5" s="1" t="str">
        <f t="shared" si="1"/>
        <v>Fatima</v>
      </c>
      <c r="F5" s="4" t="s">
        <v>45</v>
      </c>
      <c r="G5" s="4" t="s">
        <v>16</v>
      </c>
      <c r="H5" s="4" t="s">
        <v>46</v>
      </c>
      <c r="I5" s="4" t="s">
        <v>47</v>
      </c>
      <c r="J5" s="4" t="s">
        <v>48</v>
      </c>
      <c r="K5" s="2" t="str">
        <f t="shared" si="2"/>
        <v>fatima72@yahoo.com</v>
      </c>
      <c r="L5" s="4"/>
      <c r="M5" s="4" t="s">
        <v>41</v>
      </c>
      <c r="N5" s="4"/>
      <c r="O5" s="4" t="s">
        <v>168</v>
      </c>
      <c r="P5" s="4" t="str">
        <f t="shared" si="3"/>
        <v>15000</v>
      </c>
      <c r="Q5" s="4" t="s">
        <v>32</v>
      </c>
      <c r="R5" s="4" t="s">
        <v>49</v>
      </c>
      <c r="S5" t="str">
        <f t="shared" si="4"/>
        <v>01-October-2026</v>
      </c>
    </row>
    <row r="6" spans="1:22" ht="18" customHeight="1">
      <c r="A6" s="4" t="s">
        <v>50</v>
      </c>
      <c r="B6" s="4"/>
      <c r="C6" s="4" t="s">
        <v>51</v>
      </c>
      <c r="D6" s="5" t="str">
        <f t="shared" si="0"/>
        <v>Noor</v>
      </c>
      <c r="E6" s="1" t="str">
        <f t="shared" si="1"/>
        <v>Noor</v>
      </c>
      <c r="F6" s="4" t="s">
        <v>35</v>
      </c>
      <c r="G6" s="4" t="s">
        <v>52</v>
      </c>
      <c r="H6" s="4" t="s">
        <v>27</v>
      </c>
      <c r="I6" s="4" t="s">
        <v>47</v>
      </c>
      <c r="J6" s="4" t="s">
        <v>53</v>
      </c>
      <c r="K6" s="2" t="str">
        <f t="shared" si="2"/>
        <v>noor83@gmail.com</v>
      </c>
      <c r="L6" s="4" t="s">
        <v>167</v>
      </c>
      <c r="M6" s="4" t="s">
        <v>55</v>
      </c>
      <c r="N6" s="4">
        <v>5</v>
      </c>
      <c r="O6" s="4">
        <v>1500</v>
      </c>
      <c r="P6" s="4" t="str">
        <f t="shared" si="3"/>
        <v>1500</v>
      </c>
      <c r="Q6" s="4" t="s">
        <v>56</v>
      </c>
      <c r="R6" s="4" t="s">
        <v>57</v>
      </c>
      <c r="S6" t="str">
        <f t="shared" si="4"/>
        <v>03-October-2026</v>
      </c>
    </row>
    <row r="7" spans="1:22">
      <c r="A7" s="4" t="s">
        <v>58</v>
      </c>
      <c r="B7" s="4"/>
      <c r="C7" s="4" t="s">
        <v>34</v>
      </c>
      <c r="D7" s="5" t="str">
        <f t="shared" si="0"/>
        <v>OMAR</v>
      </c>
      <c r="E7" s="1" t="str">
        <f t="shared" si="1"/>
        <v>Omar</v>
      </c>
      <c r="F7" s="4" t="s">
        <v>35</v>
      </c>
      <c r="G7" s="4" t="s">
        <v>59</v>
      </c>
      <c r="H7" s="4" t="s">
        <v>37</v>
      </c>
      <c r="I7" s="4" t="s">
        <v>28</v>
      </c>
      <c r="J7" s="4" t="s">
        <v>60</v>
      </c>
      <c r="K7" s="2" t="str">
        <f t="shared" si="2"/>
        <v>omar48@yahoo.com</v>
      </c>
      <c r="L7" s="4">
        <v>3001234567</v>
      </c>
      <c r="M7" s="4" t="s">
        <v>61</v>
      </c>
      <c r="N7" s="4">
        <v>3</v>
      </c>
      <c r="O7" s="4">
        <v>3500</v>
      </c>
      <c r="P7" s="4" t="str">
        <f t="shared" si="3"/>
        <v>3500</v>
      </c>
      <c r="Q7" s="4" t="s">
        <v>32</v>
      </c>
      <c r="R7" s="4" t="s">
        <v>49</v>
      </c>
      <c r="S7" t="str">
        <f t="shared" si="4"/>
        <v xml:space="preserve"> 2026-10-05 </v>
      </c>
    </row>
    <row r="8" spans="1:22">
      <c r="A8" s="4" t="s">
        <v>62</v>
      </c>
      <c r="B8" s="4"/>
      <c r="C8" s="4" t="s">
        <v>24</v>
      </c>
      <c r="D8" s="5" t="str">
        <f t="shared" si="0"/>
        <v>ali</v>
      </c>
      <c r="E8" s="1" t="str">
        <f t="shared" si="1"/>
        <v>Ali</v>
      </c>
      <c r="F8" s="4" t="s">
        <v>63</v>
      </c>
      <c r="G8" s="4" t="s">
        <v>64</v>
      </c>
      <c r="H8" s="4" t="s">
        <v>17</v>
      </c>
      <c r="I8" s="4" t="s">
        <v>65</v>
      </c>
      <c r="J8" s="4" t="s">
        <v>66</v>
      </c>
      <c r="K8" s="2" t="str">
        <f t="shared" si="2"/>
        <v>ali27@gmail.com</v>
      </c>
      <c r="L8" s="4"/>
      <c r="M8" s="4" t="s">
        <v>20</v>
      </c>
      <c r="N8" s="4">
        <v>1</v>
      </c>
      <c r="O8" s="4" t="s">
        <v>169</v>
      </c>
      <c r="P8" s="4" t="str">
        <f t="shared" si="3"/>
        <v>35000</v>
      </c>
      <c r="Q8" s="4" t="s">
        <v>56</v>
      </c>
      <c r="R8" s="4" t="s">
        <v>67</v>
      </c>
      <c r="S8" t="str">
        <f t="shared" si="4"/>
        <v>10-January-2026</v>
      </c>
    </row>
    <row r="9" spans="1:22" ht="23.25" customHeight="1">
      <c r="A9" s="4" t="s">
        <v>68</v>
      </c>
      <c r="B9" s="4"/>
      <c r="C9" s="4" t="s">
        <v>69</v>
      </c>
      <c r="D9" s="5" t="str">
        <f t="shared" si="0"/>
        <v>SARA</v>
      </c>
      <c r="E9" s="1" t="str">
        <f t="shared" si="1"/>
        <v>Sara</v>
      </c>
      <c r="F9" s="4" t="s">
        <v>15</v>
      </c>
      <c r="G9" s="4" t="s">
        <v>64</v>
      </c>
      <c r="H9" s="4" t="s">
        <v>27</v>
      </c>
      <c r="I9" s="4" t="s">
        <v>28</v>
      </c>
      <c r="J9" s="4" t="s">
        <v>175</v>
      </c>
      <c r="K9" s="2" t="str">
        <f t="shared" si="2"/>
        <v>sara82@gmail.com</v>
      </c>
      <c r="L9" s="4"/>
      <c r="M9" s="4" t="s">
        <v>61</v>
      </c>
      <c r="N9" s="4">
        <v>3</v>
      </c>
      <c r="O9" s="4" t="s">
        <v>170</v>
      </c>
      <c r="P9" s="4" t="str">
        <f t="shared" si="3"/>
        <v>35000</v>
      </c>
      <c r="Q9" s="4" t="s">
        <v>56</v>
      </c>
      <c r="R9" s="4" t="s">
        <v>57</v>
      </c>
      <c r="S9" t="str">
        <f t="shared" si="4"/>
        <v xml:space="preserve"> 2026-10-05 </v>
      </c>
    </row>
    <row r="10" spans="1:22">
      <c r="A10" s="4" t="s">
        <v>71</v>
      </c>
      <c r="B10" s="4"/>
      <c r="C10" s="4" t="s">
        <v>72</v>
      </c>
      <c r="D10" s="5" t="str">
        <f t="shared" si="0"/>
        <v>Ayesha</v>
      </c>
      <c r="E10" s="1" t="str">
        <f t="shared" si="1"/>
        <v>Ayesha</v>
      </c>
      <c r="F10" s="4" t="s">
        <v>73</v>
      </c>
      <c r="G10" s="4" t="s">
        <v>59</v>
      </c>
      <c r="H10" s="4" t="s">
        <v>27</v>
      </c>
      <c r="I10" s="4" t="s">
        <v>18</v>
      </c>
      <c r="J10" s="6" t="s">
        <v>177</v>
      </c>
      <c r="K10" s="2" t="str">
        <f t="shared" si="2"/>
        <v>ayesha22@example.com23</v>
      </c>
      <c r="L10" s="4"/>
      <c r="M10" s="4" t="s">
        <v>55</v>
      </c>
      <c r="N10" s="4">
        <v>4</v>
      </c>
      <c r="O10" s="4" t="s">
        <v>171</v>
      </c>
      <c r="P10" s="4" t="str">
        <f t="shared" si="3"/>
        <v>25k</v>
      </c>
      <c r="Q10" s="4" t="s">
        <v>42</v>
      </c>
      <c r="R10" s="4" t="s">
        <v>67</v>
      </c>
      <c r="S10" t="str">
        <f t="shared" si="4"/>
        <v>03-October-2026</v>
      </c>
    </row>
    <row r="11" spans="1:22" ht="30">
      <c r="A11" s="4" t="s">
        <v>74</v>
      </c>
      <c r="B11" s="4"/>
      <c r="C11" s="4" t="s">
        <v>72</v>
      </c>
      <c r="D11" s="5" t="str">
        <f t="shared" si="0"/>
        <v>Ayesha</v>
      </c>
      <c r="E11" s="1" t="str">
        <f t="shared" si="1"/>
        <v>Ayesha</v>
      </c>
      <c r="F11" s="4" t="s">
        <v>75</v>
      </c>
      <c r="G11" s="4" t="s">
        <v>64</v>
      </c>
      <c r="H11" s="4" t="s">
        <v>76</v>
      </c>
      <c r="I11" s="4" t="s">
        <v>28</v>
      </c>
      <c r="J11" s="4" t="s">
        <v>77</v>
      </c>
      <c r="K11" s="2" t="str">
        <f t="shared" si="2"/>
        <v>ayesha2@gmail.com</v>
      </c>
      <c r="L11" s="4" t="s">
        <v>167</v>
      </c>
      <c r="M11" s="4" t="s">
        <v>31</v>
      </c>
      <c r="N11" s="4">
        <v>2</v>
      </c>
      <c r="O11" s="4"/>
      <c r="P11" s="4" t="str">
        <f t="shared" si="3"/>
        <v/>
      </c>
      <c r="Q11" s="4" t="s">
        <v>32</v>
      </c>
      <c r="R11" s="4"/>
      <c r="S11" t="str">
        <f t="shared" si="4"/>
        <v>10-May-2026</v>
      </c>
    </row>
    <row r="12" spans="1:22">
      <c r="A12" s="4" t="s">
        <v>78</v>
      </c>
      <c r="B12" s="4"/>
      <c r="C12" s="4" t="s">
        <v>34</v>
      </c>
      <c r="D12" s="5" t="str">
        <f t="shared" si="0"/>
        <v>OMAR</v>
      </c>
      <c r="E12" s="1" t="str">
        <f t="shared" si="1"/>
        <v>Omar</v>
      </c>
      <c r="F12" s="4" t="s">
        <v>63</v>
      </c>
      <c r="G12" s="4" t="s">
        <v>26</v>
      </c>
      <c r="H12" s="4" t="s">
        <v>37</v>
      </c>
      <c r="I12" s="4" t="s">
        <v>28</v>
      </c>
      <c r="J12" s="4" t="s">
        <v>79</v>
      </c>
      <c r="K12" s="2" t="str">
        <f t="shared" si="2"/>
        <v>omar16@yahoo.com</v>
      </c>
      <c r="L12" s="4"/>
      <c r="M12" s="4" t="s">
        <v>31</v>
      </c>
      <c r="N12" s="4">
        <v>3</v>
      </c>
      <c r="O12" s="4">
        <v>25000</v>
      </c>
      <c r="P12" s="4" t="str">
        <f t="shared" si="3"/>
        <v>25000</v>
      </c>
      <c r="Q12" s="4" t="s">
        <v>42</v>
      </c>
      <c r="R12" s="4" t="s">
        <v>49</v>
      </c>
      <c r="S12" t="str">
        <f t="shared" si="4"/>
        <v>10-May-2026</v>
      </c>
    </row>
    <row r="13" spans="1:22" ht="30">
      <c r="A13" s="4" t="s">
        <v>80</v>
      </c>
      <c r="B13" s="4"/>
      <c r="C13" s="4" t="s">
        <v>14</v>
      </c>
      <c r="D13" s="5" t="str">
        <f t="shared" si="0"/>
        <v>Usman</v>
      </c>
      <c r="E13" s="1" t="str">
        <f t="shared" si="1"/>
        <v>Usman</v>
      </c>
      <c r="F13" s="4" t="s">
        <v>73</v>
      </c>
      <c r="G13" s="4" t="s">
        <v>59</v>
      </c>
      <c r="H13" s="4" t="s">
        <v>81</v>
      </c>
      <c r="I13" s="4" t="s">
        <v>18</v>
      </c>
      <c r="J13" s="6" t="s">
        <v>176</v>
      </c>
      <c r="K13" s="2" t="str">
        <f t="shared" si="2"/>
        <v>usman.38@gmail.com</v>
      </c>
      <c r="L13" s="4" t="s">
        <v>82</v>
      </c>
      <c r="M13" s="4" t="s">
        <v>55</v>
      </c>
      <c r="N13" s="4">
        <v>2</v>
      </c>
      <c r="O13" s="4">
        <v>7500</v>
      </c>
      <c r="P13" s="4" t="str">
        <f t="shared" si="3"/>
        <v>7500</v>
      </c>
      <c r="Q13" s="4" t="s">
        <v>42</v>
      </c>
      <c r="R13" s="4" t="s">
        <v>22</v>
      </c>
      <c r="S13" t="str">
        <f t="shared" si="4"/>
        <v>03-October-2026</v>
      </c>
    </row>
    <row r="14" spans="1:22" ht="30">
      <c r="A14" s="4" t="s">
        <v>83</v>
      </c>
      <c r="B14" s="4"/>
      <c r="C14" s="4" t="s">
        <v>14</v>
      </c>
      <c r="D14" s="5" t="str">
        <f t="shared" si="0"/>
        <v>Usman</v>
      </c>
      <c r="E14" s="5"/>
      <c r="F14" s="4" t="s">
        <v>75</v>
      </c>
      <c r="G14" s="4" t="s">
        <v>59</v>
      </c>
      <c r="H14" s="4" t="s">
        <v>46</v>
      </c>
      <c r="I14" s="4" t="s">
        <v>28</v>
      </c>
      <c r="J14" s="4" t="s">
        <v>84</v>
      </c>
      <c r="K14" s="2" t="str">
        <f t="shared" si="2"/>
        <v>usman89@gmail.com</v>
      </c>
      <c r="L14" s="4" t="s">
        <v>54</v>
      </c>
      <c r="M14" s="4" t="s">
        <v>31</v>
      </c>
      <c r="N14" s="4"/>
      <c r="O14" s="4" t="s">
        <v>172</v>
      </c>
      <c r="P14" s="4" t="str">
        <f t="shared" si="3"/>
        <v>15k</v>
      </c>
      <c r="Q14" s="4" t="s">
        <v>21</v>
      </c>
      <c r="R14" s="4" t="s">
        <v>57</v>
      </c>
    </row>
    <row r="15" spans="1:22">
      <c r="A15" s="4" t="s">
        <v>85</v>
      </c>
      <c r="B15" s="4"/>
      <c r="C15" s="4" t="s">
        <v>44</v>
      </c>
      <c r="D15" s="5" t="str">
        <f t="shared" si="0"/>
        <v>Fatima</v>
      </c>
      <c r="E15" s="5"/>
      <c r="F15" s="4" t="s">
        <v>45</v>
      </c>
      <c r="G15" s="4" t="s">
        <v>86</v>
      </c>
      <c r="H15" s="4" t="s">
        <v>17</v>
      </c>
      <c r="I15" s="4" t="s">
        <v>18</v>
      </c>
      <c r="J15" s="4" t="s">
        <v>87</v>
      </c>
      <c r="K15" s="2" t="str">
        <f t="shared" si="2"/>
        <v>fatima73@outlook.com</v>
      </c>
      <c r="L15" s="4" t="s">
        <v>30</v>
      </c>
      <c r="M15" s="4" t="s">
        <v>61</v>
      </c>
      <c r="N15" s="4">
        <v>1</v>
      </c>
      <c r="O15" s="4">
        <v>12000</v>
      </c>
      <c r="P15" s="4" t="str">
        <f t="shared" si="3"/>
        <v>12000</v>
      </c>
      <c r="Q15" s="4" t="s">
        <v>56</v>
      </c>
      <c r="R15" s="4" t="s">
        <v>49</v>
      </c>
    </row>
    <row r="16" spans="1:22">
      <c r="A16" s="4" t="s">
        <v>88</v>
      </c>
      <c r="B16" s="4"/>
      <c r="C16" s="4" t="s">
        <v>51</v>
      </c>
      <c r="D16" s="5" t="str">
        <f t="shared" si="0"/>
        <v>Noor</v>
      </c>
      <c r="E16" s="5"/>
      <c r="F16" s="4" t="s">
        <v>89</v>
      </c>
      <c r="G16" s="4" t="s">
        <v>90</v>
      </c>
      <c r="H16" s="4" t="s">
        <v>91</v>
      </c>
      <c r="I16" s="4" t="s">
        <v>92</v>
      </c>
      <c r="J16" s="4" t="s">
        <v>93</v>
      </c>
      <c r="K16" s="2" t="str">
        <f t="shared" si="2"/>
        <v>noor48@example.com</v>
      </c>
      <c r="L16" s="4"/>
      <c r="M16" s="4" t="s">
        <v>20</v>
      </c>
      <c r="N16" s="4">
        <v>5</v>
      </c>
      <c r="O16" s="4">
        <v>3500</v>
      </c>
      <c r="P16" s="4" t="str">
        <f t="shared" si="3"/>
        <v>3500</v>
      </c>
      <c r="Q16" s="4" t="s">
        <v>94</v>
      </c>
      <c r="R16" s="4"/>
    </row>
    <row r="17" spans="1:18" ht="30">
      <c r="A17" s="4" t="s">
        <v>95</v>
      </c>
      <c r="B17" s="4"/>
      <c r="C17" s="4" t="s">
        <v>96</v>
      </c>
      <c r="D17" s="5" t="str">
        <f t="shared" si="0"/>
        <v>mUHAMMAD</v>
      </c>
      <c r="E17" s="5"/>
      <c r="F17" s="4" t="s">
        <v>97</v>
      </c>
      <c r="G17" s="4" t="s">
        <v>64</v>
      </c>
      <c r="H17" s="4" t="s">
        <v>37</v>
      </c>
      <c r="I17" s="4" t="s">
        <v>18</v>
      </c>
      <c r="J17" s="4" t="s">
        <v>98</v>
      </c>
      <c r="K17" s="2" t="str">
        <f t="shared" si="2"/>
        <v>muhammad49@gmail.com</v>
      </c>
      <c r="L17" s="4" t="s">
        <v>82</v>
      </c>
      <c r="M17" s="4" t="s">
        <v>20</v>
      </c>
      <c r="N17" s="4">
        <v>2</v>
      </c>
      <c r="O17" s="4"/>
      <c r="P17" s="4"/>
      <c r="Q17" s="4" t="s">
        <v>94</v>
      </c>
      <c r="R17" s="4" t="s">
        <v>57</v>
      </c>
    </row>
    <row r="18" spans="1:18" ht="30">
      <c r="A18" s="4" t="s">
        <v>99</v>
      </c>
      <c r="B18" s="4"/>
      <c r="C18" s="4" t="s">
        <v>100</v>
      </c>
      <c r="D18" s="5" t="str">
        <f t="shared" si="0"/>
        <v>hina</v>
      </c>
      <c r="E18" s="5"/>
      <c r="F18" s="4" t="s">
        <v>63</v>
      </c>
      <c r="G18" s="4" t="s">
        <v>52</v>
      </c>
      <c r="H18" s="4" t="s">
        <v>46</v>
      </c>
      <c r="I18" s="4" t="s">
        <v>47</v>
      </c>
      <c r="J18" s="4" t="s">
        <v>101</v>
      </c>
      <c r="K18" s="2" t="str">
        <f t="shared" si="2"/>
        <v>hina77@example.com</v>
      </c>
      <c r="L18" s="4"/>
      <c r="M18" s="4" t="s">
        <v>20</v>
      </c>
      <c r="N18" s="4">
        <v>2</v>
      </c>
      <c r="O18" s="4">
        <v>12000</v>
      </c>
      <c r="P18" s="4"/>
      <c r="Q18" s="4" t="s">
        <v>21</v>
      </c>
      <c r="R18" s="4"/>
    </row>
    <row r="19" spans="1:18">
      <c r="A19" s="4" t="s">
        <v>80</v>
      </c>
      <c r="B19" s="4"/>
      <c r="C19" s="4" t="s">
        <v>44</v>
      </c>
      <c r="D19" s="5" t="str">
        <f t="shared" si="0"/>
        <v>Fatima</v>
      </c>
      <c r="E19" s="5"/>
      <c r="F19" s="4" t="s">
        <v>73</v>
      </c>
      <c r="G19" s="4" t="s">
        <v>16</v>
      </c>
      <c r="H19" s="4" t="s">
        <v>37</v>
      </c>
      <c r="I19" s="4" t="s">
        <v>65</v>
      </c>
      <c r="J19" s="4" t="s">
        <v>102</v>
      </c>
      <c r="K19" s="2" t="str">
        <f t="shared" si="2"/>
        <v>fatima12@outlook.com</v>
      </c>
      <c r="L19" s="4" t="s">
        <v>82</v>
      </c>
      <c r="M19" s="4" t="s">
        <v>20</v>
      </c>
      <c r="N19" s="4">
        <v>2</v>
      </c>
      <c r="O19" s="4" t="s">
        <v>173</v>
      </c>
      <c r="P19" s="4"/>
      <c r="Q19" s="4" t="s">
        <v>103</v>
      </c>
      <c r="R19" s="4"/>
    </row>
    <row r="20" spans="1:18" ht="30">
      <c r="A20" s="4" t="s">
        <v>104</v>
      </c>
      <c r="B20" s="4"/>
      <c r="C20" s="4" t="s">
        <v>44</v>
      </c>
      <c r="D20" s="5" t="str">
        <f t="shared" si="0"/>
        <v>Fatima</v>
      </c>
      <c r="E20" s="5"/>
      <c r="F20" s="4" t="s">
        <v>73</v>
      </c>
      <c r="G20" s="4" t="s">
        <v>26</v>
      </c>
      <c r="H20" s="4" t="s">
        <v>37</v>
      </c>
      <c r="I20" s="4" t="s">
        <v>92</v>
      </c>
      <c r="J20" s="4" t="s">
        <v>105</v>
      </c>
      <c r="K20" s="2" t="str">
        <f t="shared" si="2"/>
        <v>fatima63@yahoo.com</v>
      </c>
      <c r="L20" s="4" t="s">
        <v>30</v>
      </c>
      <c r="M20" s="4" t="s">
        <v>31</v>
      </c>
      <c r="N20" s="4">
        <v>5</v>
      </c>
      <c r="O20" s="4" t="s">
        <v>174</v>
      </c>
      <c r="P20" s="4"/>
      <c r="Q20" s="4" t="s">
        <v>56</v>
      </c>
      <c r="R20" s="4" t="s">
        <v>57</v>
      </c>
    </row>
    <row r="21" spans="1:18">
      <c r="A21" s="4" t="s">
        <v>106</v>
      </c>
      <c r="B21" s="4"/>
      <c r="C21" s="4" t="s">
        <v>14</v>
      </c>
      <c r="D21" s="5" t="str">
        <f t="shared" si="0"/>
        <v>Usman</v>
      </c>
      <c r="E21" s="5"/>
      <c r="F21" s="4" t="s">
        <v>75</v>
      </c>
      <c r="G21" s="4" t="s">
        <v>16</v>
      </c>
      <c r="H21" s="4" t="s">
        <v>37</v>
      </c>
      <c r="I21" s="4" t="s">
        <v>92</v>
      </c>
      <c r="J21" s="4" t="s">
        <v>107</v>
      </c>
      <c r="K21" s="2" t="str">
        <f t="shared" si="2"/>
        <v>usman36@yahoo.com</v>
      </c>
      <c r="L21" s="4" t="s">
        <v>40</v>
      </c>
      <c r="M21" s="4" t="s">
        <v>55</v>
      </c>
      <c r="N21" s="4">
        <v>3</v>
      </c>
      <c r="O21" s="4">
        <v>3500</v>
      </c>
      <c r="P21" s="4"/>
      <c r="Q21" s="4" t="s">
        <v>21</v>
      </c>
      <c r="R21" s="4" t="s">
        <v>67</v>
      </c>
    </row>
    <row r="22" spans="1:18">
      <c r="A22" s="4" t="s">
        <v>108</v>
      </c>
      <c r="B22" s="4"/>
      <c r="C22" s="4" t="s">
        <v>109</v>
      </c>
      <c r="D22" s="5" t="str">
        <f t="shared" si="0"/>
        <v>zain</v>
      </c>
      <c r="E22" s="5"/>
      <c r="F22" s="4" t="s">
        <v>45</v>
      </c>
      <c r="G22" s="4" t="s">
        <v>16</v>
      </c>
      <c r="H22" s="4" t="s">
        <v>17</v>
      </c>
      <c r="I22" s="4" t="s">
        <v>47</v>
      </c>
      <c r="J22" s="4" t="s">
        <v>110</v>
      </c>
      <c r="K22" s="2" t="str">
        <f t="shared" si="2"/>
        <v>zain65@yahoo.com</v>
      </c>
      <c r="L22" s="4" t="s">
        <v>40</v>
      </c>
      <c r="M22" s="4" t="s">
        <v>61</v>
      </c>
      <c r="N22" s="4">
        <v>4</v>
      </c>
      <c r="O22" s="4">
        <v>12000</v>
      </c>
      <c r="P22" s="4"/>
      <c r="Q22" s="4" t="s">
        <v>56</v>
      </c>
      <c r="R22" s="4"/>
    </row>
    <row r="23" spans="1:18" ht="30">
      <c r="A23" s="4" t="s">
        <v>111</v>
      </c>
      <c r="B23" s="4"/>
      <c r="C23" s="4" t="s">
        <v>72</v>
      </c>
      <c r="D23" s="5" t="str">
        <f t="shared" si="0"/>
        <v>Ayesha</v>
      </c>
      <c r="E23" s="5"/>
      <c r="F23" s="4" t="s">
        <v>35</v>
      </c>
      <c r="G23" s="4" t="s">
        <v>90</v>
      </c>
      <c r="H23" s="4" t="s">
        <v>46</v>
      </c>
      <c r="I23" s="4" t="s">
        <v>65</v>
      </c>
      <c r="J23" s="4" t="s">
        <v>112</v>
      </c>
      <c r="K23" s="2" t="str">
        <f t="shared" si="2"/>
        <v>ayesha14@outlook.com</v>
      </c>
      <c r="L23" s="4" t="s">
        <v>82</v>
      </c>
      <c r="M23" s="4" t="s">
        <v>41</v>
      </c>
      <c r="N23" s="4"/>
      <c r="O23" s="4">
        <v>1500</v>
      </c>
      <c r="P23" s="4"/>
      <c r="Q23" s="4" t="s">
        <v>56</v>
      </c>
      <c r="R23" s="4" t="s">
        <v>57</v>
      </c>
    </row>
    <row r="24" spans="1:18">
      <c r="A24" s="4" t="s">
        <v>113</v>
      </c>
      <c r="B24" s="4"/>
      <c r="C24" s="4" t="s">
        <v>14</v>
      </c>
      <c r="D24" s="5" t="str">
        <f t="shared" si="0"/>
        <v>Usman</v>
      </c>
      <c r="E24" s="5"/>
      <c r="F24" s="4" t="s">
        <v>73</v>
      </c>
      <c r="G24" s="4" t="s">
        <v>59</v>
      </c>
      <c r="H24" s="4" t="s">
        <v>17</v>
      </c>
      <c r="I24" s="4" t="s">
        <v>92</v>
      </c>
      <c r="J24" s="4" t="s">
        <v>114</v>
      </c>
      <c r="K24" s="2" t="str">
        <f t="shared" si="2"/>
        <v>usman70@yahoo.com</v>
      </c>
      <c r="L24" s="4" t="s">
        <v>82</v>
      </c>
      <c r="M24" s="4" t="s">
        <v>61</v>
      </c>
      <c r="N24" s="4">
        <v>2</v>
      </c>
      <c r="O24" s="4"/>
      <c r="P24" s="4"/>
      <c r="Q24" s="4" t="s">
        <v>56</v>
      </c>
      <c r="R24" s="4"/>
    </row>
    <row r="25" spans="1:18" ht="30">
      <c r="A25" s="4" t="s">
        <v>115</v>
      </c>
      <c r="B25" s="4"/>
      <c r="C25" s="4" t="s">
        <v>44</v>
      </c>
      <c r="D25" s="5" t="str">
        <f t="shared" si="0"/>
        <v>Fatima</v>
      </c>
      <c r="E25" s="5"/>
      <c r="F25" s="4" t="s">
        <v>73</v>
      </c>
      <c r="G25" s="4" t="s">
        <v>59</v>
      </c>
      <c r="H25" s="4" t="s">
        <v>27</v>
      </c>
      <c r="I25" s="4" t="s">
        <v>65</v>
      </c>
      <c r="J25" s="4" t="s">
        <v>116</v>
      </c>
      <c r="K25" s="2" t="str">
        <f t="shared" si="2"/>
        <v>fatima78@outlook.com</v>
      </c>
      <c r="L25" s="4" t="s">
        <v>54</v>
      </c>
      <c r="M25" s="4" t="s">
        <v>20</v>
      </c>
      <c r="N25" s="4">
        <v>3</v>
      </c>
      <c r="O25" s="4">
        <v>7500</v>
      </c>
      <c r="P25" s="4"/>
      <c r="Q25" s="4" t="s">
        <v>94</v>
      </c>
      <c r="R25" s="4" t="s">
        <v>57</v>
      </c>
    </row>
    <row r="26" spans="1:18">
      <c r="A26" s="4" t="s">
        <v>117</v>
      </c>
      <c r="B26" s="4"/>
      <c r="C26" s="4" t="s">
        <v>24</v>
      </c>
      <c r="D26" s="5" t="str">
        <f t="shared" si="0"/>
        <v>ali</v>
      </c>
      <c r="E26" s="5"/>
      <c r="F26" s="4" t="s">
        <v>25</v>
      </c>
      <c r="G26" s="4" t="s">
        <v>90</v>
      </c>
      <c r="H26" s="4" t="s">
        <v>27</v>
      </c>
      <c r="I26" s="4" t="s">
        <v>18</v>
      </c>
      <c r="J26" s="4" t="s">
        <v>70</v>
      </c>
      <c r="K26" s="2" t="str">
        <f t="shared" si="2"/>
        <v>sara82@gmail.com</v>
      </c>
      <c r="L26" s="4" t="s">
        <v>40</v>
      </c>
      <c r="M26" s="4" t="s">
        <v>61</v>
      </c>
      <c r="N26" s="4"/>
      <c r="O26" s="4">
        <v>3500</v>
      </c>
      <c r="P26" s="4"/>
      <c r="Q26" s="4" t="s">
        <v>94</v>
      </c>
      <c r="R26" s="4" t="s">
        <v>49</v>
      </c>
    </row>
    <row r="27" spans="1:18">
      <c r="A27" s="4" t="s">
        <v>118</v>
      </c>
      <c r="B27" s="4"/>
      <c r="C27" s="4" t="s">
        <v>44</v>
      </c>
      <c r="D27" s="5" t="str">
        <f t="shared" si="0"/>
        <v>Fatima</v>
      </c>
      <c r="E27" s="5"/>
      <c r="F27" s="4" t="s">
        <v>45</v>
      </c>
      <c r="G27" s="4" t="s">
        <v>26</v>
      </c>
      <c r="H27" s="4" t="s">
        <v>91</v>
      </c>
      <c r="I27" s="4" t="s">
        <v>92</v>
      </c>
      <c r="J27" s="4" t="s">
        <v>119</v>
      </c>
      <c r="K27" s="2" t="str">
        <f t="shared" si="2"/>
        <v>fatima67@gmail.com</v>
      </c>
      <c r="L27" s="4" t="s">
        <v>82</v>
      </c>
      <c r="M27" s="4" t="s">
        <v>55</v>
      </c>
      <c r="N27" s="4">
        <v>1</v>
      </c>
      <c r="O27" s="4">
        <v>3500</v>
      </c>
      <c r="P27" s="4"/>
      <c r="Q27" s="4" t="s">
        <v>103</v>
      </c>
      <c r="R27" s="4" t="s">
        <v>67</v>
      </c>
    </row>
    <row r="28" spans="1:18" ht="30">
      <c r="A28" s="4" t="s">
        <v>120</v>
      </c>
      <c r="B28" s="4"/>
      <c r="C28" s="4" t="s">
        <v>100</v>
      </c>
      <c r="D28" s="5" t="str">
        <f t="shared" si="0"/>
        <v>hina</v>
      </c>
      <c r="E28" s="5"/>
      <c r="F28" s="4" t="s">
        <v>75</v>
      </c>
      <c r="G28" s="4" t="s">
        <v>64</v>
      </c>
      <c r="H28" s="4" t="s">
        <v>46</v>
      </c>
      <c r="I28" s="4" t="s">
        <v>28</v>
      </c>
      <c r="J28" s="4" t="s">
        <v>121</v>
      </c>
      <c r="K28" s="2" t="str">
        <f t="shared" si="2"/>
        <v>hina22@yahoo.com</v>
      </c>
      <c r="L28" s="4" t="s">
        <v>54</v>
      </c>
      <c r="M28" s="4" t="s">
        <v>20</v>
      </c>
      <c r="N28" s="4">
        <v>1</v>
      </c>
      <c r="O28" s="4"/>
      <c r="P28" s="4"/>
      <c r="Q28" s="4" t="s">
        <v>21</v>
      </c>
      <c r="R28" s="4"/>
    </row>
    <row r="29" spans="1:18">
      <c r="A29" s="4" t="s">
        <v>122</v>
      </c>
      <c r="B29" s="4"/>
      <c r="C29" s="4" t="s">
        <v>100</v>
      </c>
      <c r="D29" s="5" t="str">
        <f t="shared" si="0"/>
        <v>hina</v>
      </c>
      <c r="E29" s="5"/>
      <c r="F29" s="4" t="s">
        <v>75</v>
      </c>
      <c r="G29" s="4" t="s">
        <v>26</v>
      </c>
      <c r="H29" s="4" t="s">
        <v>91</v>
      </c>
      <c r="I29" s="4" t="s">
        <v>28</v>
      </c>
      <c r="J29" s="4" t="s">
        <v>123</v>
      </c>
      <c r="K29" s="2" t="str">
        <f t="shared" si="2"/>
        <v>hina14@outlook.com</v>
      </c>
      <c r="L29" s="4" t="s">
        <v>40</v>
      </c>
      <c r="M29" s="4" t="s">
        <v>31</v>
      </c>
      <c r="N29" s="4">
        <v>1</v>
      </c>
      <c r="O29" s="4">
        <v>12000</v>
      </c>
      <c r="P29" s="4"/>
      <c r="Q29" s="4" t="s">
        <v>94</v>
      </c>
      <c r="R29" s="4" t="s">
        <v>67</v>
      </c>
    </row>
    <row r="30" spans="1:18" ht="30">
      <c r="A30" s="4" t="s">
        <v>124</v>
      </c>
      <c r="B30" s="4"/>
      <c r="C30" s="4" t="s">
        <v>14</v>
      </c>
      <c r="D30" s="5" t="str">
        <f t="shared" si="0"/>
        <v>Usman</v>
      </c>
      <c r="E30" s="5"/>
      <c r="F30" s="4" t="s">
        <v>89</v>
      </c>
      <c r="G30" s="4" t="s">
        <v>64</v>
      </c>
      <c r="H30" s="4" t="s">
        <v>81</v>
      </c>
      <c r="I30" s="4" t="s">
        <v>92</v>
      </c>
      <c r="J30" s="4" t="s">
        <v>125</v>
      </c>
      <c r="K30" s="2" t="str">
        <f t="shared" si="2"/>
        <v>usman82@outlook.com</v>
      </c>
      <c r="L30" s="4" t="s">
        <v>40</v>
      </c>
      <c r="M30" s="4" t="s">
        <v>55</v>
      </c>
      <c r="N30" s="4">
        <v>5</v>
      </c>
      <c r="O30" s="4">
        <v>7500</v>
      </c>
      <c r="P30" s="4"/>
      <c r="Q30" s="4" t="s">
        <v>56</v>
      </c>
      <c r="R30" s="4"/>
    </row>
    <row r="31" spans="1:18" ht="30">
      <c r="A31" s="4" t="s">
        <v>126</v>
      </c>
      <c r="B31" s="4"/>
      <c r="C31" s="4" t="s">
        <v>44</v>
      </c>
      <c r="D31" s="5" t="str">
        <f t="shared" si="0"/>
        <v>Fatima</v>
      </c>
      <c r="E31" s="5"/>
      <c r="F31" s="4" t="s">
        <v>35</v>
      </c>
      <c r="G31" s="4" t="s">
        <v>64</v>
      </c>
      <c r="H31" s="4" t="s">
        <v>81</v>
      </c>
      <c r="I31" s="4" t="s">
        <v>28</v>
      </c>
      <c r="J31" s="4" t="s">
        <v>127</v>
      </c>
      <c r="K31" s="2" t="str">
        <f t="shared" si="2"/>
        <v>fatima97@outlook.com</v>
      </c>
      <c r="L31" s="4" t="s">
        <v>30</v>
      </c>
      <c r="M31" s="4" t="s">
        <v>61</v>
      </c>
      <c r="N31" s="4">
        <v>2</v>
      </c>
      <c r="O31" s="4">
        <v>7500</v>
      </c>
      <c r="P31" s="4"/>
      <c r="Q31" s="4" t="s">
        <v>21</v>
      </c>
      <c r="R31" s="4" t="s">
        <v>22</v>
      </c>
    </row>
    <row r="32" spans="1:18">
      <c r="A32" s="4" t="s">
        <v>128</v>
      </c>
      <c r="B32" s="4"/>
      <c r="C32" s="4" t="s">
        <v>44</v>
      </c>
      <c r="D32" s="5" t="str">
        <f t="shared" si="0"/>
        <v>Fatima</v>
      </c>
      <c r="E32" s="5"/>
      <c r="F32" s="4" t="s">
        <v>25</v>
      </c>
      <c r="G32" s="4" t="s">
        <v>16</v>
      </c>
      <c r="H32" s="4" t="s">
        <v>91</v>
      </c>
      <c r="I32" s="4" t="s">
        <v>38</v>
      </c>
      <c r="J32" s="4" t="s">
        <v>129</v>
      </c>
      <c r="K32" s="2" t="str">
        <f t="shared" si="2"/>
        <v>fatima30@gmail.com</v>
      </c>
      <c r="L32" s="4" t="s">
        <v>40</v>
      </c>
      <c r="M32" s="4" t="s">
        <v>41</v>
      </c>
      <c r="N32" s="4">
        <v>3</v>
      </c>
      <c r="O32" s="4">
        <v>1500</v>
      </c>
      <c r="P32" s="4"/>
      <c r="Q32" s="4" t="s">
        <v>32</v>
      </c>
      <c r="R32" s="4"/>
    </row>
    <row r="33" spans="1:18">
      <c r="A33" s="4" t="s">
        <v>130</v>
      </c>
      <c r="B33" s="4"/>
      <c r="C33" s="4" t="s">
        <v>24</v>
      </c>
      <c r="D33" s="5" t="str">
        <f t="shared" si="0"/>
        <v>ali</v>
      </c>
      <c r="E33" s="5"/>
      <c r="F33" s="4" t="s">
        <v>75</v>
      </c>
      <c r="G33" s="4" t="s">
        <v>64</v>
      </c>
      <c r="H33" s="4" t="s">
        <v>37</v>
      </c>
      <c r="I33" s="4" t="s">
        <v>65</v>
      </c>
      <c r="J33" s="4" t="s">
        <v>131</v>
      </c>
      <c r="K33" s="2" t="str">
        <f t="shared" si="2"/>
        <v>ali93@gmail.com</v>
      </c>
      <c r="L33" s="4"/>
      <c r="M33" s="4" t="s">
        <v>20</v>
      </c>
      <c r="N33" s="4">
        <v>5</v>
      </c>
      <c r="O33" s="4">
        <v>12000</v>
      </c>
      <c r="P33" s="4"/>
      <c r="Q33" s="4" t="s">
        <v>42</v>
      </c>
      <c r="R33" s="4" t="s">
        <v>22</v>
      </c>
    </row>
    <row r="34" spans="1:18">
      <c r="A34" s="4" t="s">
        <v>132</v>
      </c>
      <c r="B34" s="4"/>
      <c r="C34" s="4" t="s">
        <v>14</v>
      </c>
      <c r="D34" s="5" t="str">
        <f t="shared" si="0"/>
        <v>Usman</v>
      </c>
      <c r="E34" s="5"/>
      <c r="F34" s="4" t="s">
        <v>75</v>
      </c>
      <c r="G34" s="4" t="s">
        <v>52</v>
      </c>
      <c r="H34" s="4" t="s">
        <v>91</v>
      </c>
      <c r="I34" s="4" t="s">
        <v>28</v>
      </c>
      <c r="J34" s="4" t="s">
        <v>133</v>
      </c>
      <c r="K34" s="2" t="str">
        <f t="shared" si="2"/>
        <v>usman41@yahoo.com</v>
      </c>
      <c r="L34" s="4" t="s">
        <v>40</v>
      </c>
      <c r="M34" s="4" t="s">
        <v>41</v>
      </c>
      <c r="N34" s="4"/>
      <c r="O34" s="4">
        <v>12000</v>
      </c>
      <c r="P34" s="4"/>
      <c r="Q34" s="4" t="s">
        <v>56</v>
      </c>
      <c r="R34" s="4"/>
    </row>
    <row r="35" spans="1:18">
      <c r="A35" s="4" t="s">
        <v>134</v>
      </c>
      <c r="B35" s="4"/>
      <c r="C35" s="4" t="s">
        <v>51</v>
      </c>
      <c r="D35" s="5" t="str">
        <f t="shared" si="0"/>
        <v>Noor</v>
      </c>
      <c r="E35" s="5"/>
      <c r="F35" s="4" t="s">
        <v>73</v>
      </c>
      <c r="G35" s="4" t="s">
        <v>64</v>
      </c>
      <c r="H35" s="4" t="s">
        <v>91</v>
      </c>
      <c r="I35" s="4" t="s">
        <v>65</v>
      </c>
      <c r="J35" s="4" t="s">
        <v>135</v>
      </c>
      <c r="K35" s="2" t="str">
        <f t="shared" si="2"/>
        <v>noor16@example.com</v>
      </c>
      <c r="L35" s="4"/>
      <c r="M35" s="4" t="s">
        <v>20</v>
      </c>
      <c r="N35" s="4">
        <v>2</v>
      </c>
      <c r="O35" s="4">
        <v>3500</v>
      </c>
      <c r="P35" s="4"/>
      <c r="Q35" s="4" t="s">
        <v>103</v>
      </c>
      <c r="R35" s="4"/>
    </row>
    <row r="36" spans="1:18">
      <c r="A36" s="4" t="s">
        <v>136</v>
      </c>
      <c r="B36" s="4"/>
      <c r="C36" s="4" t="s">
        <v>100</v>
      </c>
      <c r="D36" s="5" t="str">
        <f t="shared" si="0"/>
        <v>hina</v>
      </c>
      <c r="E36" s="5"/>
      <c r="F36" s="4" t="s">
        <v>97</v>
      </c>
      <c r="G36" s="4" t="s">
        <v>86</v>
      </c>
      <c r="H36" s="4" t="s">
        <v>17</v>
      </c>
      <c r="I36" s="4" t="s">
        <v>38</v>
      </c>
      <c r="J36" s="4" t="s">
        <v>137</v>
      </c>
      <c r="K36" s="2" t="str">
        <f t="shared" si="2"/>
        <v>hina44@example.com</v>
      </c>
      <c r="L36" s="4" t="s">
        <v>82</v>
      </c>
      <c r="M36" s="4" t="s">
        <v>55</v>
      </c>
      <c r="N36" s="4">
        <v>4</v>
      </c>
      <c r="O36" s="4">
        <v>25000</v>
      </c>
      <c r="P36" s="4"/>
      <c r="Q36" s="4" t="s">
        <v>56</v>
      </c>
      <c r="R36" s="4" t="s">
        <v>22</v>
      </c>
    </row>
    <row r="37" spans="1:18">
      <c r="A37" s="4" t="s">
        <v>138</v>
      </c>
      <c r="B37" s="4"/>
      <c r="C37" s="4" t="s">
        <v>44</v>
      </c>
      <c r="D37" s="5" t="str">
        <f t="shared" si="0"/>
        <v>Fatima</v>
      </c>
      <c r="E37" s="5"/>
      <c r="F37" s="4" t="s">
        <v>139</v>
      </c>
      <c r="G37" s="4" t="s">
        <v>16</v>
      </c>
      <c r="H37" s="4" t="s">
        <v>17</v>
      </c>
      <c r="I37" s="4" t="s">
        <v>47</v>
      </c>
      <c r="J37" s="4" t="s">
        <v>140</v>
      </c>
      <c r="K37" s="2" t="str">
        <f t="shared" si="2"/>
        <v>fatima47@gmail.com</v>
      </c>
      <c r="L37" s="4" t="s">
        <v>54</v>
      </c>
      <c r="M37" s="4" t="s">
        <v>55</v>
      </c>
      <c r="N37" s="4">
        <v>5</v>
      </c>
      <c r="O37" s="4">
        <v>12000</v>
      </c>
      <c r="P37" s="4"/>
      <c r="Q37" s="4" t="s">
        <v>42</v>
      </c>
      <c r="R37" s="4" t="s">
        <v>49</v>
      </c>
    </row>
    <row r="38" spans="1:18">
      <c r="A38" s="4" t="s">
        <v>80</v>
      </c>
      <c r="B38" s="4"/>
      <c r="C38" s="4" t="s">
        <v>100</v>
      </c>
      <c r="D38" s="5" t="str">
        <f t="shared" si="0"/>
        <v>hina</v>
      </c>
      <c r="E38" s="5"/>
      <c r="F38" s="4" t="s">
        <v>25</v>
      </c>
      <c r="G38" s="4" t="s">
        <v>26</v>
      </c>
      <c r="H38" s="4" t="s">
        <v>91</v>
      </c>
      <c r="I38" s="4" t="s">
        <v>47</v>
      </c>
      <c r="J38" s="4" t="s">
        <v>141</v>
      </c>
      <c r="K38" s="2" t="str">
        <f t="shared" si="2"/>
        <v>hina36@outlook.com</v>
      </c>
      <c r="L38" s="4" t="s">
        <v>82</v>
      </c>
      <c r="M38" s="4" t="s">
        <v>61</v>
      </c>
      <c r="N38" s="4">
        <v>4</v>
      </c>
      <c r="O38" s="4">
        <v>25000</v>
      </c>
      <c r="P38" s="4"/>
      <c r="Q38" s="4" t="s">
        <v>42</v>
      </c>
      <c r="R38" s="4"/>
    </row>
    <row r="39" spans="1:18" ht="30">
      <c r="A39" s="4" t="s">
        <v>142</v>
      </c>
      <c r="B39" s="4"/>
      <c r="C39" s="4" t="s">
        <v>69</v>
      </c>
      <c r="D39" s="5" t="str">
        <f t="shared" si="0"/>
        <v>SARA</v>
      </c>
      <c r="E39" s="5"/>
      <c r="F39" s="4" t="s">
        <v>25</v>
      </c>
      <c r="G39" s="4" t="s">
        <v>52</v>
      </c>
      <c r="H39" s="4" t="s">
        <v>17</v>
      </c>
      <c r="I39" s="4" t="s">
        <v>28</v>
      </c>
      <c r="J39" s="4" t="s">
        <v>143</v>
      </c>
      <c r="K39" s="2" t="str">
        <f t="shared" si="2"/>
        <v>sara80@outlook.com</v>
      </c>
      <c r="L39" s="4" t="s">
        <v>40</v>
      </c>
      <c r="M39" s="4" t="s">
        <v>55</v>
      </c>
      <c r="N39" s="4">
        <v>2</v>
      </c>
      <c r="O39" s="4">
        <v>12000</v>
      </c>
      <c r="P39" s="4"/>
      <c r="Q39" s="4" t="s">
        <v>94</v>
      </c>
      <c r="R39" s="4" t="s">
        <v>57</v>
      </c>
    </row>
    <row r="40" spans="1:18" ht="30">
      <c r="A40" s="4" t="s">
        <v>144</v>
      </c>
      <c r="B40" s="4"/>
      <c r="C40" s="4" t="s">
        <v>34</v>
      </c>
      <c r="D40" s="5" t="str">
        <f t="shared" si="0"/>
        <v>OMAR</v>
      </c>
      <c r="E40" s="5"/>
      <c r="F40" s="4" t="s">
        <v>73</v>
      </c>
      <c r="G40" s="4" t="s">
        <v>16</v>
      </c>
      <c r="H40" s="4" t="s">
        <v>46</v>
      </c>
      <c r="I40" s="4" t="s">
        <v>47</v>
      </c>
      <c r="J40" s="4" t="s">
        <v>145</v>
      </c>
      <c r="K40" s="2" t="str">
        <f t="shared" si="2"/>
        <v>omar80@example.com</v>
      </c>
      <c r="L40" s="4" t="s">
        <v>54</v>
      </c>
      <c r="M40" s="4" t="s">
        <v>55</v>
      </c>
      <c r="N40" s="4">
        <v>1</v>
      </c>
      <c r="O40" s="4">
        <v>2500</v>
      </c>
      <c r="P40" s="4"/>
      <c r="Q40" s="4" t="s">
        <v>56</v>
      </c>
      <c r="R40" s="4" t="s">
        <v>22</v>
      </c>
    </row>
    <row r="41" spans="1:18" ht="30">
      <c r="A41" s="4" t="s">
        <v>146</v>
      </c>
      <c r="B41" s="4"/>
      <c r="C41" s="4" t="s">
        <v>34</v>
      </c>
      <c r="D41" s="5" t="str">
        <f t="shared" si="0"/>
        <v>OMAR</v>
      </c>
      <c r="E41" s="5"/>
      <c r="F41" s="4" t="s">
        <v>25</v>
      </c>
      <c r="G41" s="4" t="s">
        <v>16</v>
      </c>
      <c r="H41" s="4" t="s">
        <v>91</v>
      </c>
      <c r="I41" s="4" t="s">
        <v>92</v>
      </c>
      <c r="J41" s="4" t="s">
        <v>147</v>
      </c>
      <c r="K41" s="2" t="str">
        <f t="shared" si="2"/>
        <v>omar85@example.com</v>
      </c>
      <c r="L41" s="4" t="s">
        <v>30</v>
      </c>
      <c r="M41" s="4" t="s">
        <v>31</v>
      </c>
      <c r="N41" s="4">
        <v>3</v>
      </c>
      <c r="O41" s="4">
        <v>3500</v>
      </c>
      <c r="P41" s="4"/>
      <c r="Q41" s="4" t="s">
        <v>103</v>
      </c>
      <c r="R41" s="4" t="s">
        <v>57</v>
      </c>
    </row>
    <row r="42" spans="1:18">
      <c r="A42" s="4" t="s">
        <v>148</v>
      </c>
      <c r="B42" s="4"/>
      <c r="C42" s="4" t="s">
        <v>109</v>
      </c>
      <c r="D42" s="5" t="str">
        <f t="shared" si="0"/>
        <v>zain</v>
      </c>
      <c r="E42" s="5"/>
      <c r="F42" s="4" t="s">
        <v>89</v>
      </c>
      <c r="G42" s="4" t="s">
        <v>36</v>
      </c>
      <c r="H42" s="4" t="s">
        <v>91</v>
      </c>
      <c r="I42" s="4" t="s">
        <v>28</v>
      </c>
      <c r="J42" s="4" t="s">
        <v>149</v>
      </c>
      <c r="K42" s="2" t="str">
        <f t="shared" si="2"/>
        <v>zain87@outlook.com</v>
      </c>
      <c r="L42" s="4" t="s">
        <v>54</v>
      </c>
      <c r="M42" s="4" t="s">
        <v>61</v>
      </c>
      <c r="N42" s="4">
        <v>4</v>
      </c>
      <c r="O42" s="4">
        <v>1500</v>
      </c>
      <c r="P42" s="4"/>
      <c r="Q42" s="4" t="s">
        <v>32</v>
      </c>
      <c r="R42" s="4" t="s">
        <v>67</v>
      </c>
    </row>
    <row r="43" spans="1:18">
      <c r="A43" s="4" t="s">
        <v>150</v>
      </c>
      <c r="B43" s="4"/>
      <c r="C43" s="4" t="s">
        <v>100</v>
      </c>
      <c r="D43" s="5" t="str">
        <f t="shared" si="0"/>
        <v>hina</v>
      </c>
      <c r="E43" s="5"/>
      <c r="F43" s="4" t="s">
        <v>89</v>
      </c>
      <c r="G43" s="4" t="s">
        <v>86</v>
      </c>
      <c r="H43" s="4" t="s">
        <v>17</v>
      </c>
      <c r="I43" s="4" t="s">
        <v>92</v>
      </c>
      <c r="J43" s="4" t="s">
        <v>151</v>
      </c>
      <c r="K43" s="2" t="str">
        <f t="shared" si="2"/>
        <v>hina82@yahoo.com</v>
      </c>
      <c r="L43" s="4"/>
      <c r="M43" s="4" t="s">
        <v>20</v>
      </c>
      <c r="N43" s="4"/>
      <c r="O43" s="4">
        <v>1500</v>
      </c>
      <c r="P43" s="4"/>
      <c r="Q43" s="4" t="s">
        <v>103</v>
      </c>
      <c r="R43" s="4" t="s">
        <v>49</v>
      </c>
    </row>
    <row r="44" spans="1:18">
      <c r="A44" s="4" t="s">
        <v>152</v>
      </c>
      <c r="B44" s="4"/>
      <c r="C44" s="4" t="s">
        <v>100</v>
      </c>
      <c r="D44" s="5" t="str">
        <f t="shared" si="0"/>
        <v>hina</v>
      </c>
      <c r="E44" s="5"/>
      <c r="F44" s="4" t="s">
        <v>139</v>
      </c>
      <c r="G44" s="4" t="s">
        <v>26</v>
      </c>
      <c r="H44" s="4" t="s">
        <v>27</v>
      </c>
      <c r="I44" s="4" t="s">
        <v>18</v>
      </c>
      <c r="J44" s="4" t="s">
        <v>153</v>
      </c>
      <c r="K44" s="2" t="str">
        <f t="shared" si="2"/>
        <v>hina47@outlook.com</v>
      </c>
      <c r="L44" s="4" t="s">
        <v>54</v>
      </c>
      <c r="M44" s="4" t="s">
        <v>20</v>
      </c>
      <c r="N44" s="4">
        <v>4</v>
      </c>
      <c r="O44" s="4">
        <v>7500</v>
      </c>
      <c r="P44" s="4"/>
      <c r="Q44" s="4" t="s">
        <v>56</v>
      </c>
      <c r="R44" s="4" t="s">
        <v>22</v>
      </c>
    </row>
    <row r="45" spans="1:18" ht="30">
      <c r="A45" s="4" t="s">
        <v>154</v>
      </c>
      <c r="B45" s="4"/>
      <c r="C45" s="4" t="s">
        <v>109</v>
      </c>
      <c r="D45" s="5" t="str">
        <f t="shared" si="0"/>
        <v>zain</v>
      </c>
      <c r="E45" s="5"/>
      <c r="F45" s="4" t="s">
        <v>139</v>
      </c>
      <c r="G45" s="4" t="s">
        <v>16</v>
      </c>
      <c r="H45" s="4" t="s">
        <v>76</v>
      </c>
      <c r="I45" s="4" t="s">
        <v>18</v>
      </c>
      <c r="J45" s="4" t="s">
        <v>70</v>
      </c>
      <c r="K45" s="2" t="str">
        <f t="shared" si="2"/>
        <v>sara82@gmail.com</v>
      </c>
      <c r="L45" s="4" t="s">
        <v>40</v>
      </c>
      <c r="M45" s="4" t="s">
        <v>55</v>
      </c>
      <c r="N45" s="4">
        <v>2</v>
      </c>
      <c r="O45" s="4">
        <v>1500</v>
      </c>
      <c r="P45" s="4"/>
      <c r="Q45" s="4" t="s">
        <v>103</v>
      </c>
      <c r="R45" s="4" t="s">
        <v>49</v>
      </c>
    </row>
    <row r="46" spans="1:18" ht="30">
      <c r="A46" s="4" t="s">
        <v>155</v>
      </c>
      <c r="B46" s="4"/>
      <c r="C46" s="4" t="s">
        <v>96</v>
      </c>
      <c r="D46" s="5" t="str">
        <f t="shared" si="0"/>
        <v>mUHAMMAD</v>
      </c>
      <c r="E46" s="5"/>
      <c r="F46" s="4" t="s">
        <v>63</v>
      </c>
      <c r="G46" s="4" t="s">
        <v>90</v>
      </c>
      <c r="H46" s="4" t="s">
        <v>46</v>
      </c>
      <c r="I46" s="4" t="s">
        <v>28</v>
      </c>
      <c r="J46" s="4" t="s">
        <v>156</v>
      </c>
      <c r="K46" s="2" t="str">
        <f t="shared" si="2"/>
        <v>muhammad53@gmail.com</v>
      </c>
      <c r="L46" s="4" t="s">
        <v>54</v>
      </c>
      <c r="M46" s="4" t="s">
        <v>41</v>
      </c>
      <c r="N46" s="4">
        <v>3</v>
      </c>
      <c r="O46" s="4">
        <v>7500</v>
      </c>
      <c r="P46" s="4"/>
      <c r="Q46" s="4" t="s">
        <v>32</v>
      </c>
      <c r="R46" s="4" t="s">
        <v>49</v>
      </c>
    </row>
    <row r="47" spans="1:18" ht="30">
      <c r="A47" s="4" t="s">
        <v>157</v>
      </c>
      <c r="B47" s="4"/>
      <c r="C47" s="4" t="s">
        <v>69</v>
      </c>
      <c r="D47" s="5" t="str">
        <f t="shared" si="0"/>
        <v>SARA</v>
      </c>
      <c r="E47" s="5"/>
      <c r="F47" s="4" t="s">
        <v>63</v>
      </c>
      <c r="G47" s="4" t="s">
        <v>59</v>
      </c>
      <c r="H47" s="4" t="s">
        <v>17</v>
      </c>
      <c r="I47" s="4" t="s">
        <v>92</v>
      </c>
      <c r="J47" s="4" t="s">
        <v>158</v>
      </c>
      <c r="K47" s="2" t="str">
        <f t="shared" si="2"/>
        <v>sara71@example.com</v>
      </c>
      <c r="L47" s="4"/>
      <c r="M47" s="4" t="s">
        <v>61</v>
      </c>
      <c r="N47" s="4">
        <v>1</v>
      </c>
      <c r="O47" s="4"/>
      <c r="P47" s="4"/>
      <c r="Q47" s="4" t="s">
        <v>32</v>
      </c>
      <c r="R47" s="4" t="s">
        <v>57</v>
      </c>
    </row>
    <row r="48" spans="1:18">
      <c r="A48" s="4" t="s">
        <v>159</v>
      </c>
      <c r="B48" s="4"/>
      <c r="C48" s="4" t="s">
        <v>51</v>
      </c>
      <c r="D48" s="5" t="str">
        <f t="shared" si="0"/>
        <v>Noor</v>
      </c>
      <c r="E48" s="5"/>
      <c r="F48" s="4" t="s">
        <v>89</v>
      </c>
      <c r="G48" s="4" t="s">
        <v>86</v>
      </c>
      <c r="H48" s="4" t="s">
        <v>17</v>
      </c>
      <c r="I48" s="4" t="s">
        <v>92</v>
      </c>
      <c r="J48" s="4" t="s">
        <v>160</v>
      </c>
      <c r="K48" s="2" t="str">
        <f t="shared" si="2"/>
        <v>noor68@outlook.com</v>
      </c>
      <c r="L48" s="4" t="s">
        <v>54</v>
      </c>
      <c r="M48" s="4" t="s">
        <v>20</v>
      </c>
      <c r="N48" s="4">
        <v>5</v>
      </c>
      <c r="O48" s="4">
        <v>3500</v>
      </c>
      <c r="P48" s="4"/>
      <c r="Q48" s="4" t="s">
        <v>56</v>
      </c>
      <c r="R48" s="4" t="s">
        <v>67</v>
      </c>
    </row>
    <row r="49" spans="1:18" ht="30">
      <c r="A49" s="4" t="s">
        <v>161</v>
      </c>
      <c r="B49" s="4"/>
      <c r="C49" s="4" t="s">
        <v>109</v>
      </c>
      <c r="D49" s="5" t="str">
        <f t="shared" si="0"/>
        <v>zain</v>
      </c>
      <c r="E49" s="5"/>
      <c r="F49" s="4" t="s">
        <v>89</v>
      </c>
      <c r="G49" s="4" t="s">
        <v>86</v>
      </c>
      <c r="H49" s="4" t="s">
        <v>76</v>
      </c>
      <c r="I49" s="4" t="s">
        <v>38</v>
      </c>
      <c r="J49" s="4" t="s">
        <v>162</v>
      </c>
      <c r="K49" s="2" t="str">
        <f t="shared" si="2"/>
        <v>zain14@example.com</v>
      </c>
      <c r="L49" s="4"/>
      <c r="M49" s="4" t="s">
        <v>31</v>
      </c>
      <c r="N49" s="4">
        <v>5</v>
      </c>
      <c r="O49" s="4">
        <v>7500</v>
      </c>
      <c r="P49" s="4"/>
      <c r="Q49" s="4" t="s">
        <v>94</v>
      </c>
      <c r="R49" s="4" t="s">
        <v>67</v>
      </c>
    </row>
    <row r="50" spans="1:18" ht="30">
      <c r="A50" s="4" t="s">
        <v>163</v>
      </c>
      <c r="B50" s="4"/>
      <c r="C50" s="4" t="s">
        <v>51</v>
      </c>
      <c r="D50" s="5" t="str">
        <f t="shared" si="0"/>
        <v>Noor</v>
      </c>
      <c r="E50" s="5"/>
      <c r="F50" s="4" t="s">
        <v>97</v>
      </c>
      <c r="G50" s="4" t="s">
        <v>90</v>
      </c>
      <c r="H50" s="4" t="s">
        <v>76</v>
      </c>
      <c r="I50" s="4" t="s">
        <v>38</v>
      </c>
      <c r="J50" s="4" t="s">
        <v>164</v>
      </c>
      <c r="K50" s="2" t="str">
        <f t="shared" si="2"/>
        <v>noor52@gmail.com</v>
      </c>
      <c r="L50" s="4" t="s">
        <v>30</v>
      </c>
      <c r="M50" s="4" t="s">
        <v>31</v>
      </c>
      <c r="N50" s="4">
        <v>4</v>
      </c>
      <c r="O50" s="4">
        <v>3500</v>
      </c>
      <c r="P50" s="4"/>
      <c r="Q50" s="4" t="s">
        <v>56</v>
      </c>
      <c r="R50" s="4" t="s">
        <v>22</v>
      </c>
    </row>
    <row r="51" spans="1:18" ht="30">
      <c r="A51" s="4" t="s">
        <v>165</v>
      </c>
      <c r="B51" s="4"/>
      <c r="C51" s="4" t="s">
        <v>14</v>
      </c>
      <c r="D51" s="5" t="str">
        <f t="shared" si="0"/>
        <v>Usman</v>
      </c>
      <c r="E51" s="5"/>
      <c r="F51" s="4" t="s">
        <v>63</v>
      </c>
      <c r="G51" s="4" t="s">
        <v>90</v>
      </c>
      <c r="H51" s="4" t="s">
        <v>46</v>
      </c>
      <c r="I51" s="4" t="s">
        <v>38</v>
      </c>
      <c r="J51" s="4" t="s">
        <v>166</v>
      </c>
      <c r="K51" s="2" t="str">
        <f t="shared" si="2"/>
        <v>usman19@gmail.com</v>
      </c>
      <c r="L51" s="4" t="s">
        <v>82</v>
      </c>
      <c r="M51" s="4" t="s">
        <v>41</v>
      </c>
      <c r="N51" s="4">
        <v>3</v>
      </c>
      <c r="O51" s="4">
        <v>7500</v>
      </c>
      <c r="P51" s="4"/>
      <c r="Q51" s="4" t="s">
        <v>94</v>
      </c>
      <c r="R51" s="4" t="s">
        <v>22</v>
      </c>
    </row>
  </sheetData>
  <hyperlinks>
    <hyperlink ref="J13" r:id="rId1" xr:uid="{5636ABE1-A7D4-4ECC-8CDC-6F7E65ED6CB9}"/>
    <hyperlink ref="J10" r:id="rId2" xr:uid="{2D0B220F-8360-4CF0-B621-ED495DA49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6903-E6F4-425F-B6AE-BE17F60851E2}">
  <dimension ref="A1:C20"/>
  <sheetViews>
    <sheetView workbookViewId="0">
      <selection activeCell="A8" sqref="A8"/>
    </sheetView>
  </sheetViews>
  <sheetFormatPr defaultRowHeight="15"/>
  <cols>
    <col min="1" max="1" width="11.42578125" customWidth="1"/>
    <col min="2" max="2" width="16.140625" customWidth="1"/>
    <col min="3" max="3" width="19.42578125" bestFit="1" customWidth="1"/>
  </cols>
  <sheetData>
    <row r="1" spans="1:3">
      <c r="A1" t="s">
        <v>178</v>
      </c>
      <c r="B1" t="s">
        <v>179</v>
      </c>
      <c r="C1" t="s">
        <v>180</v>
      </c>
    </row>
    <row r="2" spans="1:3">
      <c r="A2" t="s">
        <v>181</v>
      </c>
      <c r="B2" t="s">
        <v>76</v>
      </c>
      <c r="C2" t="s">
        <v>182</v>
      </c>
    </row>
    <row r="3" spans="1:3">
      <c r="A3" t="s">
        <v>183</v>
      </c>
      <c r="B3" t="s">
        <v>17</v>
      </c>
      <c r="C3" t="s">
        <v>182</v>
      </c>
    </row>
    <row r="4" spans="1:3">
      <c r="A4" t="s">
        <v>184</v>
      </c>
      <c r="B4" t="s">
        <v>185</v>
      </c>
      <c r="C4" t="s">
        <v>186</v>
      </c>
    </row>
    <row r="5" spans="1:3">
      <c r="A5" t="s">
        <v>187</v>
      </c>
      <c r="B5" t="s">
        <v>188</v>
      </c>
      <c r="C5" t="s">
        <v>186</v>
      </c>
    </row>
    <row r="6" spans="1:3">
      <c r="A6" t="s">
        <v>189</v>
      </c>
      <c r="B6" t="s">
        <v>27</v>
      </c>
      <c r="C6" t="s">
        <v>190</v>
      </c>
    </row>
    <row r="7" spans="1:3">
      <c r="A7" t="s">
        <v>191</v>
      </c>
      <c r="B7" t="s">
        <v>192</v>
      </c>
      <c r="C7" t="s">
        <v>193</v>
      </c>
    </row>
    <row r="8" spans="1:3">
      <c r="A8" t="s">
        <v>194</v>
      </c>
      <c r="B8" t="s">
        <v>195</v>
      </c>
      <c r="C8" t="s">
        <v>193</v>
      </c>
    </row>
    <row r="9" spans="1:3">
      <c r="A9" t="s">
        <v>196</v>
      </c>
      <c r="B9" t="s">
        <v>197</v>
      </c>
      <c r="C9" t="s">
        <v>193</v>
      </c>
    </row>
    <row r="10" spans="1:3">
      <c r="A10" t="s">
        <v>198</v>
      </c>
      <c r="B10" t="s">
        <v>199</v>
      </c>
      <c r="C10" t="s">
        <v>200</v>
      </c>
    </row>
    <row r="11" spans="1:3">
      <c r="A11" t="s">
        <v>201</v>
      </c>
      <c r="B11" t="s">
        <v>91</v>
      </c>
      <c r="C11" t="s">
        <v>202</v>
      </c>
    </row>
    <row r="12" spans="1:3">
      <c r="A12" t="s">
        <v>203</v>
      </c>
      <c r="B12" t="s">
        <v>204</v>
      </c>
      <c r="C12" t="s">
        <v>205</v>
      </c>
    </row>
    <row r="13" spans="1:3">
      <c r="A13" t="s">
        <v>206</v>
      </c>
      <c r="B13" t="s">
        <v>207</v>
      </c>
      <c r="C13" t="s">
        <v>205</v>
      </c>
    </row>
    <row r="14" spans="1:3">
      <c r="A14" t="s">
        <v>208</v>
      </c>
      <c r="B14" t="s">
        <v>209</v>
      </c>
      <c r="C14" t="s">
        <v>210</v>
      </c>
    </row>
    <row r="15" spans="1:3">
      <c r="A15" t="s">
        <v>211</v>
      </c>
      <c r="B15" t="s">
        <v>212</v>
      </c>
      <c r="C15" t="s">
        <v>202</v>
      </c>
    </row>
    <row r="16" spans="1:3">
      <c r="A16" t="s">
        <v>213</v>
      </c>
      <c r="B16" t="s">
        <v>214</v>
      </c>
      <c r="C16" t="s">
        <v>202</v>
      </c>
    </row>
    <row r="17" spans="1:3">
      <c r="A17" t="s">
        <v>215</v>
      </c>
      <c r="B17" t="s">
        <v>216</v>
      </c>
      <c r="C17" t="s">
        <v>210</v>
      </c>
    </row>
    <row r="18" spans="1:3">
      <c r="A18" t="s">
        <v>217</v>
      </c>
      <c r="B18" t="s">
        <v>218</v>
      </c>
      <c r="C18" t="s">
        <v>219</v>
      </c>
    </row>
    <row r="19" spans="1:3">
      <c r="A19" t="s">
        <v>220</v>
      </c>
      <c r="B19" t="s">
        <v>221</v>
      </c>
      <c r="C19" t="s">
        <v>200</v>
      </c>
    </row>
    <row r="20" spans="1:3">
      <c r="A20" t="s">
        <v>222</v>
      </c>
      <c r="B20" t="s">
        <v>223</v>
      </c>
      <c r="C20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F47D-92E3-4E02-8715-BEA9E201E649}">
  <dimension ref="A1:Y366"/>
  <sheetViews>
    <sheetView workbookViewId="0">
      <selection activeCell="E21" sqref="A1:L366"/>
    </sheetView>
  </sheetViews>
  <sheetFormatPr defaultRowHeight="15"/>
  <cols>
    <col min="2" max="2" width="10.140625" bestFit="1" customWidth="1"/>
    <col min="3" max="3" width="14.42578125" customWidth="1"/>
    <col min="4" max="4" width="19.42578125" bestFit="1" customWidth="1"/>
    <col min="5" max="5" width="9.140625" customWidth="1"/>
    <col min="8" max="8" width="6" bestFit="1" customWidth="1"/>
    <col min="9" max="9" width="11.7109375" bestFit="1" customWidth="1"/>
    <col min="10" max="10" width="14.42578125" bestFit="1" customWidth="1"/>
    <col min="11" max="11" width="11.7109375" bestFit="1" customWidth="1"/>
    <col min="14" max="14" width="14.85546875" bestFit="1" customWidth="1"/>
    <col min="15" max="15" width="25" customWidth="1"/>
    <col min="16" max="16" width="14.85546875" bestFit="1" customWidth="1"/>
    <col min="17" max="17" width="19.42578125" bestFit="1" customWidth="1"/>
  </cols>
  <sheetData>
    <row r="1" spans="1:15">
      <c r="A1" t="s">
        <v>224</v>
      </c>
      <c r="B1" t="s">
        <v>178</v>
      </c>
      <c r="C1" t="s">
        <v>4</v>
      </c>
      <c r="D1" t="s">
        <v>180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N1" t="s">
        <v>267</v>
      </c>
    </row>
    <row r="2" spans="1:15">
      <c r="A2">
        <v>1743</v>
      </c>
      <c r="B2" t="s">
        <v>203</v>
      </c>
      <c r="C2" t="str">
        <f>_xlfn.XLOOKUP(B2,product!$A$2:$A$20,product!$B$2:$B$20)</f>
        <v>Laptop Stand</v>
      </c>
      <c r="D2" t="str">
        <f>_xlfn.XLOOKUP(C2,product!$B$2:$B$20,product!$C$2:$C$20)</f>
        <v>Laptop Accessories</v>
      </c>
      <c r="E2">
        <v>175</v>
      </c>
      <c r="F2">
        <v>500</v>
      </c>
      <c r="G2">
        <v>87500</v>
      </c>
      <c r="H2">
        <v>44562</v>
      </c>
      <c r="I2" t="s">
        <v>233</v>
      </c>
      <c r="J2" t="s">
        <v>234</v>
      </c>
      <c r="K2" t="s">
        <v>235</v>
      </c>
      <c r="L2" t="s">
        <v>236</v>
      </c>
      <c r="N2" t="str" cm="1">
        <f t="array" ref="N2:O22">_xlfn.GROUPBY(C1:C366,G1:G366,_xleta.SUM,3)</f>
        <v>Product</v>
      </c>
      <c r="O2" t="str">
        <v>Sales</v>
      </c>
    </row>
    <row r="3" spans="1:15">
      <c r="A3">
        <v>1447</v>
      </c>
      <c r="B3" t="s">
        <v>196</v>
      </c>
      <c r="C3" t="str">
        <f>_xlfn.XLOOKUP(B3,product!$A$2:$A$20,product!$B$2:$B$20)</f>
        <v>SSD</v>
      </c>
      <c r="D3" t="str">
        <f>_xlfn.XLOOKUP(C3,product!$B$2:$B$20,product!$C$2:$C$20)</f>
        <v>Internal Hardware</v>
      </c>
      <c r="E3">
        <v>293</v>
      </c>
      <c r="F3">
        <v>9500</v>
      </c>
      <c r="G3">
        <v>2783500</v>
      </c>
      <c r="H3">
        <v>44563</v>
      </c>
      <c r="I3" t="s">
        <v>237</v>
      </c>
      <c r="J3" t="s">
        <v>238</v>
      </c>
      <c r="K3" t="s">
        <v>239</v>
      </c>
      <c r="L3" t="s">
        <v>240</v>
      </c>
      <c r="N3" t="str">
        <v>Cooling Pad</v>
      </c>
      <c r="O3">
        <v>9118062</v>
      </c>
    </row>
    <row r="4" spans="1:15">
      <c r="A4">
        <v>1802</v>
      </c>
      <c r="B4" t="s">
        <v>217</v>
      </c>
      <c r="C4" t="str">
        <f>_xlfn.XLOOKUP(B4,product!$A$2:$A$20,product!$B$2:$B$20)</f>
        <v>Wireless Router</v>
      </c>
      <c r="D4" t="str">
        <f>_xlfn.XLOOKUP(C4,product!$B$2:$B$20,product!$C$2:$C$20)</f>
        <v>Network</v>
      </c>
      <c r="E4">
        <v>177</v>
      </c>
      <c r="F4">
        <v>1350</v>
      </c>
      <c r="G4">
        <v>238950</v>
      </c>
      <c r="H4">
        <v>44564</v>
      </c>
      <c r="I4" t="s">
        <v>90</v>
      </c>
      <c r="J4" t="s">
        <v>241</v>
      </c>
      <c r="K4" t="s">
        <v>235</v>
      </c>
      <c r="L4" t="s">
        <v>242</v>
      </c>
      <c r="N4" t="str">
        <v>Ethernet Cable</v>
      </c>
      <c r="O4">
        <v>11552316</v>
      </c>
    </row>
    <row r="5" spans="1:15">
      <c r="A5">
        <v>1495</v>
      </c>
      <c r="B5" t="s">
        <v>189</v>
      </c>
      <c r="C5" t="str">
        <f>_xlfn.XLOOKUP(B5,product!$A$2:$A$20,product!$B$2:$B$20)</f>
        <v>Monitor</v>
      </c>
      <c r="D5" t="str">
        <f>_xlfn.XLOOKUP(C5,product!$B$2:$B$20,product!$C$2:$C$20)</f>
        <v>Display</v>
      </c>
      <c r="E5">
        <v>192</v>
      </c>
      <c r="F5">
        <v>1350</v>
      </c>
      <c r="G5">
        <v>259200</v>
      </c>
      <c r="H5">
        <v>44565</v>
      </c>
      <c r="I5" t="s">
        <v>243</v>
      </c>
      <c r="J5" t="s">
        <v>234</v>
      </c>
      <c r="K5" t="s">
        <v>239</v>
      </c>
      <c r="L5" t="s">
        <v>244</v>
      </c>
      <c r="N5" t="str">
        <v>Graphics Card</v>
      </c>
      <c r="O5">
        <v>23145017</v>
      </c>
    </row>
    <row r="6" spans="1:15">
      <c r="A6">
        <v>1570</v>
      </c>
      <c r="B6" t="s">
        <v>203</v>
      </c>
      <c r="C6" t="str">
        <f>_xlfn.XLOOKUP(B6,product!$A$2:$A$20,product!$B$2:$B$20)</f>
        <v>Laptop Stand</v>
      </c>
      <c r="D6" t="str">
        <f>_xlfn.XLOOKUP(C6,product!$B$2:$B$20,product!$C$2:$C$20)</f>
        <v>Laptop Accessories</v>
      </c>
      <c r="E6">
        <v>148</v>
      </c>
      <c r="F6">
        <v>500</v>
      </c>
      <c r="G6">
        <v>74000</v>
      </c>
      <c r="H6">
        <v>44566</v>
      </c>
      <c r="I6" t="s">
        <v>245</v>
      </c>
      <c r="J6" t="s">
        <v>234</v>
      </c>
      <c r="K6" t="s">
        <v>235</v>
      </c>
      <c r="L6" t="s">
        <v>246</v>
      </c>
      <c r="N6" t="str">
        <v>Hard Drive</v>
      </c>
      <c r="O6">
        <v>11088474</v>
      </c>
    </row>
    <row r="7" spans="1:15">
      <c r="A7">
        <v>1822</v>
      </c>
      <c r="B7" t="s">
        <v>191</v>
      </c>
      <c r="C7" t="str">
        <f>_xlfn.XLOOKUP(B7,product!$A$2:$A$20,product!$B$2:$B$20)</f>
        <v>Graphics Card</v>
      </c>
      <c r="D7" t="str">
        <f>_xlfn.XLOOKUP(C7,product!$B$2:$B$20,product!$C$2:$C$20)</f>
        <v>Internal Hardware</v>
      </c>
      <c r="E7">
        <v>262</v>
      </c>
      <c r="F7">
        <v>12000</v>
      </c>
      <c r="G7">
        <v>3144000</v>
      </c>
      <c r="H7">
        <v>44567</v>
      </c>
      <c r="I7" t="s">
        <v>247</v>
      </c>
      <c r="J7" t="s">
        <v>238</v>
      </c>
      <c r="K7" t="s">
        <v>248</v>
      </c>
      <c r="L7" t="s">
        <v>249</v>
      </c>
      <c r="N7" t="str">
        <v>HDMI Cable</v>
      </c>
      <c r="O7">
        <v>10452262</v>
      </c>
    </row>
    <row r="8" spans="1:15">
      <c r="A8">
        <v>1699</v>
      </c>
      <c r="B8" t="s">
        <v>181</v>
      </c>
      <c r="C8" t="str">
        <f>_xlfn.XLOOKUP(B8,product!$A$2:$A$20,product!$B$2:$B$20)</f>
        <v>Keyboard</v>
      </c>
      <c r="D8" t="str">
        <f>_xlfn.XLOOKUP(C8,product!$B$2:$B$20,product!$C$2:$C$20)</f>
        <v>Input Device</v>
      </c>
      <c r="E8">
        <v>259</v>
      </c>
      <c r="F8">
        <v>800</v>
      </c>
      <c r="G8">
        <v>207200</v>
      </c>
      <c r="H8">
        <v>44568</v>
      </c>
      <c r="I8" t="s">
        <v>250</v>
      </c>
      <c r="J8" t="s">
        <v>234</v>
      </c>
      <c r="K8" t="s">
        <v>239</v>
      </c>
      <c r="L8" t="s">
        <v>251</v>
      </c>
      <c r="N8" t="str">
        <v>Headset</v>
      </c>
      <c r="O8">
        <v>23648174</v>
      </c>
    </row>
    <row r="9" spans="1:15">
      <c r="A9">
        <v>1492</v>
      </c>
      <c r="B9" t="s">
        <v>189</v>
      </c>
      <c r="C9" t="str">
        <f>_xlfn.XLOOKUP(B9,product!$A$2:$A$20,product!$B$2:$B$20)</f>
        <v>Monitor</v>
      </c>
      <c r="D9" t="str">
        <f>_xlfn.XLOOKUP(C9,product!$B$2:$B$20,product!$C$2:$C$20)</f>
        <v>Display</v>
      </c>
      <c r="E9">
        <v>232</v>
      </c>
      <c r="F9">
        <v>15000</v>
      </c>
      <c r="G9">
        <v>3480000</v>
      </c>
      <c r="H9">
        <v>44569</v>
      </c>
      <c r="I9" t="s">
        <v>64</v>
      </c>
      <c r="J9" t="s">
        <v>238</v>
      </c>
      <c r="K9" t="s">
        <v>235</v>
      </c>
      <c r="L9" t="s">
        <v>252</v>
      </c>
      <c r="N9" t="str">
        <v>Keyboard</v>
      </c>
      <c r="O9">
        <v>7929345</v>
      </c>
    </row>
    <row r="10" spans="1:15">
      <c r="A10">
        <v>1670</v>
      </c>
      <c r="B10" t="s">
        <v>183</v>
      </c>
      <c r="C10" t="str">
        <f>_xlfn.XLOOKUP(B10,product!$A$2:$A$20,product!$B$2:$B$20)</f>
        <v>Mouse</v>
      </c>
      <c r="D10" t="str">
        <f>_xlfn.XLOOKUP(C10,product!$B$2:$B$20,product!$C$2:$C$20)</f>
        <v>Input Device</v>
      </c>
      <c r="E10">
        <v>153</v>
      </c>
      <c r="F10">
        <v>500</v>
      </c>
      <c r="G10">
        <v>76500</v>
      </c>
      <c r="H10">
        <v>44570</v>
      </c>
      <c r="I10" t="s">
        <v>59</v>
      </c>
      <c r="J10" t="s">
        <v>234</v>
      </c>
      <c r="K10" t="s">
        <v>248</v>
      </c>
      <c r="L10" t="s">
        <v>253</v>
      </c>
      <c r="N10" t="str">
        <v>Laptop Bag</v>
      </c>
      <c r="O10">
        <v>4333076</v>
      </c>
    </row>
    <row r="11" spans="1:15">
      <c r="A11">
        <v>1244</v>
      </c>
      <c r="B11" t="s">
        <v>208</v>
      </c>
      <c r="C11" t="str">
        <f>_xlfn.XLOOKUP(B11,product!$A$2:$A$20,product!$B$2:$B$20)</f>
        <v>Headset</v>
      </c>
      <c r="D11" t="str">
        <f>_xlfn.XLOOKUP(C11,product!$B$2:$B$20,product!$C$2:$C$20)</f>
        <v>Audio</v>
      </c>
      <c r="E11">
        <v>192</v>
      </c>
      <c r="F11">
        <v>1500</v>
      </c>
      <c r="G11">
        <v>288000</v>
      </c>
      <c r="H11">
        <v>44571</v>
      </c>
      <c r="I11" t="s">
        <v>254</v>
      </c>
      <c r="J11" t="s">
        <v>234</v>
      </c>
      <c r="K11" t="s">
        <v>239</v>
      </c>
      <c r="L11" t="s">
        <v>255</v>
      </c>
      <c r="N11" t="str">
        <v>Laptop Stand</v>
      </c>
      <c r="O11">
        <v>8175881</v>
      </c>
    </row>
    <row r="12" spans="1:15">
      <c r="A12">
        <v>1502</v>
      </c>
      <c r="B12" t="s">
        <v>184</v>
      </c>
      <c r="C12" t="str">
        <f>_xlfn.XLOOKUP(B12,product!$A$2:$A$20,product!$B$2:$B$20)</f>
        <v>Hard Drive</v>
      </c>
      <c r="D12" t="str">
        <f>_xlfn.XLOOKUP(C12,product!$B$2:$B$20,product!$C$2:$C$20)</f>
        <v>Storage</v>
      </c>
      <c r="E12">
        <v>116</v>
      </c>
      <c r="F12">
        <v>8000</v>
      </c>
      <c r="G12">
        <v>928000</v>
      </c>
      <c r="H12">
        <v>44572</v>
      </c>
      <c r="I12" t="s">
        <v>256</v>
      </c>
      <c r="J12" t="s">
        <v>238</v>
      </c>
      <c r="K12" t="s">
        <v>248</v>
      </c>
      <c r="L12" t="s">
        <v>257</v>
      </c>
      <c r="N12" t="str">
        <v>Monitor</v>
      </c>
      <c r="O12">
        <v>33857315</v>
      </c>
    </row>
    <row r="13" spans="1:15">
      <c r="A13">
        <v>1493</v>
      </c>
      <c r="B13" t="s">
        <v>189</v>
      </c>
      <c r="C13" t="str">
        <f>_xlfn.XLOOKUP(B13,product!$A$2:$A$20,product!$B$2:$B$20)</f>
        <v>Monitor</v>
      </c>
      <c r="D13" t="str">
        <f>_xlfn.XLOOKUP(C13,product!$B$2:$B$20,product!$C$2:$C$20)</f>
        <v>Display</v>
      </c>
      <c r="E13">
        <v>153</v>
      </c>
      <c r="F13">
        <v>15000</v>
      </c>
      <c r="G13">
        <v>2295000</v>
      </c>
      <c r="H13">
        <v>44573</v>
      </c>
      <c r="I13" t="s">
        <v>258</v>
      </c>
      <c r="J13" t="s">
        <v>241</v>
      </c>
      <c r="K13" t="s">
        <v>235</v>
      </c>
      <c r="L13" t="s">
        <v>259</v>
      </c>
      <c r="N13" t="str">
        <v>Mouse</v>
      </c>
      <c r="O13">
        <v>8503053</v>
      </c>
    </row>
    <row r="14" spans="1:15">
      <c r="A14">
        <v>1987</v>
      </c>
      <c r="B14" t="s">
        <v>215</v>
      </c>
      <c r="C14" t="str">
        <f>_xlfn.XLOOKUP(B14,product!$A$2:$A$20,product!$B$2:$B$20)</f>
        <v>Speakers</v>
      </c>
      <c r="D14" t="str">
        <f>_xlfn.XLOOKUP(C14,product!$B$2:$B$20,product!$C$2:$C$20)</f>
        <v>Audio</v>
      </c>
      <c r="E14">
        <v>279</v>
      </c>
      <c r="F14">
        <v>5300</v>
      </c>
      <c r="G14">
        <v>1478700</v>
      </c>
      <c r="H14">
        <v>44574</v>
      </c>
      <c r="I14" t="s">
        <v>260</v>
      </c>
      <c r="J14" t="s">
        <v>234</v>
      </c>
      <c r="K14" t="s">
        <v>248</v>
      </c>
      <c r="L14" t="s">
        <v>261</v>
      </c>
      <c r="N14" t="str">
        <v>Printer</v>
      </c>
      <c r="O14">
        <v>22183044</v>
      </c>
    </row>
    <row r="15" spans="1:15">
      <c r="A15">
        <v>1502</v>
      </c>
      <c r="B15" t="s">
        <v>213</v>
      </c>
      <c r="C15" t="str">
        <f>_xlfn.XLOOKUP(B15,product!$A$2:$A$20,product!$B$2:$B$20)</f>
        <v>Scanner</v>
      </c>
      <c r="D15" t="str">
        <f>_xlfn.XLOOKUP(C15,product!$B$2:$B$20,product!$C$2:$C$20)</f>
        <v>Peripherals</v>
      </c>
      <c r="E15">
        <v>286</v>
      </c>
      <c r="F15">
        <v>7600</v>
      </c>
      <c r="G15">
        <v>2173600</v>
      </c>
      <c r="H15">
        <v>44575</v>
      </c>
      <c r="I15" t="s">
        <v>233</v>
      </c>
      <c r="J15" t="s">
        <v>238</v>
      </c>
      <c r="K15" t="s">
        <v>235</v>
      </c>
      <c r="L15" t="s">
        <v>262</v>
      </c>
      <c r="N15" t="str">
        <v>RAM Module</v>
      </c>
      <c r="O15">
        <v>30405068</v>
      </c>
    </row>
    <row r="16" spans="1:15">
      <c r="A16">
        <v>1821</v>
      </c>
      <c r="B16" t="s">
        <v>215</v>
      </c>
      <c r="C16" t="str">
        <f>_xlfn.XLOOKUP(B16,product!$A$2:$A$20,product!$B$2:$B$20)</f>
        <v>Speakers</v>
      </c>
      <c r="D16" t="str">
        <f>_xlfn.XLOOKUP(C16,product!$B$2:$B$20,product!$C$2:$C$20)</f>
        <v>Audio</v>
      </c>
      <c r="E16">
        <v>144</v>
      </c>
      <c r="F16">
        <v>5300</v>
      </c>
      <c r="G16">
        <v>763200</v>
      </c>
      <c r="H16">
        <v>44576</v>
      </c>
      <c r="I16" t="s">
        <v>237</v>
      </c>
      <c r="J16" t="s">
        <v>238</v>
      </c>
      <c r="K16" t="s">
        <v>248</v>
      </c>
      <c r="L16" t="s">
        <v>263</v>
      </c>
      <c r="N16" t="str">
        <v>Scanner</v>
      </c>
      <c r="O16">
        <v>12816024</v>
      </c>
    </row>
    <row r="17" spans="1:25">
      <c r="A17">
        <v>1956</v>
      </c>
      <c r="B17" t="s">
        <v>191</v>
      </c>
      <c r="C17" t="str">
        <f>_xlfn.XLOOKUP(B17,product!$A$2:$A$20,product!$B$2:$B$20)</f>
        <v>Graphics Card</v>
      </c>
      <c r="D17" t="str">
        <f>_xlfn.XLOOKUP(C17,product!$B$2:$B$20,product!$C$2:$C$20)</f>
        <v>Internal Hardware</v>
      </c>
      <c r="E17">
        <v>180</v>
      </c>
      <c r="F17">
        <v>12000</v>
      </c>
      <c r="G17">
        <v>2160000</v>
      </c>
      <c r="H17">
        <v>44577</v>
      </c>
      <c r="I17" t="s">
        <v>90</v>
      </c>
      <c r="J17" t="s">
        <v>234</v>
      </c>
      <c r="K17" t="s">
        <v>235</v>
      </c>
      <c r="L17" t="s">
        <v>236</v>
      </c>
      <c r="N17" t="str">
        <v>Speakers</v>
      </c>
      <c r="O17">
        <v>17713480</v>
      </c>
    </row>
    <row r="18" spans="1:25">
      <c r="A18">
        <v>1729</v>
      </c>
      <c r="B18" t="s">
        <v>211</v>
      </c>
      <c r="C18" t="str">
        <f>_xlfn.XLOOKUP(B18,product!$A$2:$A$20,product!$B$2:$B$20)</f>
        <v>Printer</v>
      </c>
      <c r="D18" t="str">
        <f>_xlfn.XLOOKUP(C18,product!$B$2:$B$20,product!$C$2:$C$20)</f>
        <v>Peripherals</v>
      </c>
      <c r="E18">
        <v>290</v>
      </c>
      <c r="F18">
        <v>11500</v>
      </c>
      <c r="G18">
        <v>3335000</v>
      </c>
      <c r="H18">
        <v>44578</v>
      </c>
      <c r="I18" t="s">
        <v>243</v>
      </c>
      <c r="J18" t="s">
        <v>238</v>
      </c>
      <c r="K18" t="s">
        <v>248</v>
      </c>
      <c r="L18" t="s">
        <v>240</v>
      </c>
      <c r="N18" t="str">
        <v>SSD</v>
      </c>
      <c r="O18">
        <v>14862987</v>
      </c>
    </row>
    <row r="19" spans="1:25">
      <c r="A19">
        <v>1288</v>
      </c>
      <c r="B19" t="s">
        <v>220</v>
      </c>
      <c r="C19" t="str">
        <f>_xlfn.XLOOKUP(B19,product!$A$2:$A$20,product!$B$2:$B$20)</f>
        <v>Ethernet Cable</v>
      </c>
      <c r="D19" t="str">
        <f>_xlfn.XLOOKUP(C19,product!$B$2:$B$20,product!$C$2:$C$20)</f>
        <v>Cables &amp; Connectors</v>
      </c>
      <c r="E19">
        <v>145</v>
      </c>
      <c r="F19">
        <v>600</v>
      </c>
      <c r="G19">
        <v>87000</v>
      </c>
      <c r="H19">
        <v>44579</v>
      </c>
      <c r="I19" t="s">
        <v>245</v>
      </c>
      <c r="J19" t="s">
        <v>234</v>
      </c>
      <c r="K19" t="s">
        <v>248</v>
      </c>
      <c r="L19" t="s">
        <v>242</v>
      </c>
      <c r="N19" t="str">
        <v>USB Flash Drive</v>
      </c>
      <c r="O19">
        <v>5296585</v>
      </c>
    </row>
    <row r="20" spans="1:25">
      <c r="A20">
        <v>1309</v>
      </c>
      <c r="B20" t="s">
        <v>220</v>
      </c>
      <c r="C20" t="str">
        <f>_xlfn.XLOOKUP(B20,product!$A$2:$A$20,product!$B$2:$B$20)</f>
        <v>Ethernet Cable</v>
      </c>
      <c r="D20" t="str">
        <f>_xlfn.XLOOKUP(C20,product!$B$2:$B$20,product!$C$2:$C$20)</f>
        <v>Cables &amp; Connectors</v>
      </c>
      <c r="E20">
        <v>149</v>
      </c>
      <c r="F20">
        <v>600</v>
      </c>
      <c r="G20">
        <v>89400</v>
      </c>
      <c r="H20">
        <v>44580</v>
      </c>
      <c r="I20" t="s">
        <v>247</v>
      </c>
      <c r="J20" t="s">
        <v>238</v>
      </c>
      <c r="K20" t="s">
        <v>248</v>
      </c>
      <c r="L20" t="s">
        <v>244</v>
      </c>
      <c r="N20" t="str">
        <v>Webcam</v>
      </c>
      <c r="O20">
        <v>11162862</v>
      </c>
    </row>
    <row r="21" spans="1:25">
      <c r="A21">
        <v>1002</v>
      </c>
      <c r="B21" t="s">
        <v>215</v>
      </c>
      <c r="C21" t="str">
        <f>_xlfn.XLOOKUP(B21,product!$A$2:$A$20,product!$B$2:$B$20)</f>
        <v>Speakers</v>
      </c>
      <c r="D21" t="str">
        <f>_xlfn.XLOOKUP(C21,product!$B$2:$B$20,product!$C$2:$C$20)</f>
        <v>Audio</v>
      </c>
      <c r="E21">
        <v>206</v>
      </c>
      <c r="F21">
        <v>5300</v>
      </c>
      <c r="G21">
        <v>1091800</v>
      </c>
      <c r="H21">
        <v>44581</v>
      </c>
      <c r="I21" t="s">
        <v>250</v>
      </c>
      <c r="J21" t="s">
        <v>238</v>
      </c>
      <c r="K21" t="s">
        <v>235</v>
      </c>
      <c r="L21" t="s">
        <v>246</v>
      </c>
      <c r="N21" t="str">
        <v>Wireless Router</v>
      </c>
      <c r="O21">
        <v>9559133</v>
      </c>
    </row>
    <row r="22" spans="1:25">
      <c r="A22">
        <v>1394</v>
      </c>
      <c r="B22" t="s">
        <v>222</v>
      </c>
      <c r="C22" t="str">
        <f>_xlfn.XLOOKUP(B22,product!$A$2:$A$20,product!$B$2:$B$20)</f>
        <v>Laptop Bag</v>
      </c>
      <c r="D22" t="str">
        <f>_xlfn.XLOOKUP(C22,product!$B$2:$B$20,product!$C$2:$C$20)</f>
        <v>Laptop Accessories</v>
      </c>
      <c r="E22">
        <v>110</v>
      </c>
      <c r="F22">
        <v>300</v>
      </c>
      <c r="G22">
        <v>33000</v>
      </c>
      <c r="H22">
        <v>44582</v>
      </c>
      <c r="I22" t="s">
        <v>64</v>
      </c>
      <c r="J22" t="s">
        <v>238</v>
      </c>
      <c r="K22" t="s">
        <v>248</v>
      </c>
      <c r="L22" t="s">
        <v>249</v>
      </c>
      <c r="N22" t="str">
        <v>Total</v>
      </c>
      <c r="O22">
        <v>275802158</v>
      </c>
    </row>
    <row r="23" spans="1:25">
      <c r="A23">
        <v>1049</v>
      </c>
      <c r="B23" t="s">
        <v>206</v>
      </c>
      <c r="C23" t="str">
        <f>_xlfn.XLOOKUP(B23,product!$A$2:$A$20,product!$B$2:$B$20)</f>
        <v>Cooling Pad</v>
      </c>
      <c r="D23" t="str">
        <f>_xlfn.XLOOKUP(C23,product!$B$2:$B$20,product!$C$2:$C$20)</f>
        <v>Laptop Accessories</v>
      </c>
      <c r="E23">
        <v>254</v>
      </c>
      <c r="F23">
        <v>650</v>
      </c>
      <c r="G23">
        <v>165100</v>
      </c>
      <c r="H23">
        <v>44583</v>
      </c>
      <c r="I23" t="s">
        <v>254</v>
      </c>
      <c r="J23" t="s">
        <v>241</v>
      </c>
      <c r="K23" t="s">
        <v>239</v>
      </c>
      <c r="L23" t="s">
        <v>251</v>
      </c>
    </row>
    <row r="24" spans="1:25">
      <c r="A24">
        <v>1005</v>
      </c>
      <c r="B24" t="s">
        <v>201</v>
      </c>
      <c r="C24" t="str">
        <f>_xlfn.XLOOKUP(B24,product!$A$2:$A$20,product!$B$2:$B$20)</f>
        <v>Webcam</v>
      </c>
      <c r="D24" t="str">
        <f>_xlfn.XLOOKUP(C24,product!$B$2:$B$20,product!$C$2:$C$20)</f>
        <v>Peripherals</v>
      </c>
      <c r="E24">
        <v>203</v>
      </c>
      <c r="F24">
        <v>3500</v>
      </c>
      <c r="G24">
        <v>710500</v>
      </c>
      <c r="H24">
        <v>44584</v>
      </c>
      <c r="I24" t="s">
        <v>256</v>
      </c>
      <c r="J24" t="s">
        <v>234</v>
      </c>
      <c r="K24" t="s">
        <v>239</v>
      </c>
      <c r="L24" t="s">
        <v>252</v>
      </c>
    </row>
    <row r="25" spans="1:25">
      <c r="A25">
        <v>1831</v>
      </c>
      <c r="B25" t="s">
        <v>215</v>
      </c>
      <c r="C25" t="str">
        <f>_xlfn.XLOOKUP(B25,product!$A$2:$A$20,product!$B$2:$B$20)</f>
        <v>Speakers</v>
      </c>
      <c r="D25" t="str">
        <f>_xlfn.XLOOKUP(C25,product!$B$2:$B$20,product!$C$2:$C$20)</f>
        <v>Audio</v>
      </c>
      <c r="E25">
        <v>183</v>
      </c>
      <c r="F25">
        <v>5300</v>
      </c>
      <c r="G25">
        <v>969900</v>
      </c>
      <c r="H25">
        <v>44585</v>
      </c>
      <c r="I25" t="s">
        <v>258</v>
      </c>
      <c r="J25" t="s">
        <v>241</v>
      </c>
      <c r="K25" t="s">
        <v>239</v>
      </c>
      <c r="L25" t="s">
        <v>253</v>
      </c>
      <c r="N25" s="11" t="s">
        <v>353</v>
      </c>
    </row>
    <row r="26" spans="1:25">
      <c r="A26">
        <v>1530</v>
      </c>
      <c r="B26" t="s">
        <v>208</v>
      </c>
      <c r="C26" t="str">
        <f>_xlfn.XLOOKUP(B26,product!$A$2:$A$20,product!$B$2:$B$20)</f>
        <v>Headset</v>
      </c>
      <c r="D26" t="str">
        <f>_xlfn.XLOOKUP(C26,product!$B$2:$B$20,product!$C$2:$C$20)</f>
        <v>Audio</v>
      </c>
      <c r="E26">
        <v>184</v>
      </c>
      <c r="F26">
        <v>1500</v>
      </c>
      <c r="G26">
        <v>276000</v>
      </c>
      <c r="H26">
        <v>44586</v>
      </c>
      <c r="I26" t="s">
        <v>260</v>
      </c>
      <c r="J26" t="s">
        <v>234</v>
      </c>
      <c r="K26" t="s">
        <v>235</v>
      </c>
      <c r="L26" t="s">
        <v>255</v>
      </c>
      <c r="N26" s="1" cm="1">
        <f t="array" ref="N26:Y28">_xlfn._xlws.FILTER(A1:L366,(I1:I366="Multan")*(L1:L366="COM3737"))</f>
        <v>1956</v>
      </c>
      <c r="O26" t="str">
        <v>PD-105</v>
      </c>
      <c r="P26" t="str">
        <v>Graphics Card</v>
      </c>
      <c r="Q26" t="str">
        <v>Internal Hardware</v>
      </c>
      <c r="R26">
        <v>180</v>
      </c>
      <c r="S26">
        <v>12000</v>
      </c>
      <c r="T26">
        <v>2160000</v>
      </c>
      <c r="U26">
        <v>44577</v>
      </c>
      <c r="V26" t="str">
        <v>Multan</v>
      </c>
      <c r="W26" t="str">
        <v>First Class</v>
      </c>
      <c r="X26" t="str">
        <v>Home Office</v>
      </c>
      <c r="Y26" t="str">
        <v>COM3737</v>
      </c>
    </row>
    <row r="27" spans="1:25">
      <c r="A27">
        <v>1123</v>
      </c>
      <c r="B27" t="s">
        <v>194</v>
      </c>
      <c r="C27" t="str">
        <f>_xlfn.XLOOKUP(B27,product!$A$2:$A$20,product!$B$2:$B$20)</f>
        <v>RAM Module</v>
      </c>
      <c r="D27" t="str">
        <f>_xlfn.XLOOKUP(C27,product!$B$2:$B$20,product!$C$2:$C$20)</f>
        <v>Internal Hardware</v>
      </c>
      <c r="E27">
        <v>280</v>
      </c>
      <c r="F27">
        <v>7500</v>
      </c>
      <c r="G27">
        <v>2100000</v>
      </c>
      <c r="H27">
        <v>44587</v>
      </c>
      <c r="I27" t="s">
        <v>233</v>
      </c>
      <c r="J27" t="s">
        <v>234</v>
      </c>
      <c r="K27" t="s">
        <v>235</v>
      </c>
      <c r="L27" t="s">
        <v>257</v>
      </c>
      <c r="N27">
        <v>288</v>
      </c>
      <c r="O27" t="str">
        <v>PD-113</v>
      </c>
      <c r="P27" t="str">
        <v>Printer</v>
      </c>
      <c r="Q27" t="str">
        <v>Peripherals</v>
      </c>
      <c r="R27">
        <v>200</v>
      </c>
      <c r="S27">
        <v>2009</v>
      </c>
      <c r="T27">
        <v>401800</v>
      </c>
      <c r="U27">
        <v>44697</v>
      </c>
      <c r="V27" t="str">
        <v>Multan</v>
      </c>
      <c r="W27" t="str">
        <v>Second Class</v>
      </c>
      <c r="X27" t="str">
        <v>Corporate</v>
      </c>
      <c r="Y27" t="str">
        <v>COM3737</v>
      </c>
    </row>
    <row r="28" spans="1:25">
      <c r="A28">
        <v>1227</v>
      </c>
      <c r="B28" t="s">
        <v>196</v>
      </c>
      <c r="C28" t="str">
        <f>_xlfn.XLOOKUP(B28,product!$A$2:$A$20,product!$B$2:$B$20)</f>
        <v>SSD</v>
      </c>
      <c r="D28" t="str">
        <f>_xlfn.XLOOKUP(C28,product!$B$2:$B$20,product!$C$2:$C$20)</f>
        <v>Internal Hardware</v>
      </c>
      <c r="E28">
        <v>210</v>
      </c>
      <c r="F28">
        <v>9500</v>
      </c>
      <c r="G28">
        <v>1995000</v>
      </c>
      <c r="H28">
        <v>44588</v>
      </c>
      <c r="I28" t="s">
        <v>237</v>
      </c>
      <c r="J28" t="s">
        <v>234</v>
      </c>
      <c r="K28" t="s">
        <v>248</v>
      </c>
      <c r="L28" t="s">
        <v>259</v>
      </c>
      <c r="N28">
        <v>288</v>
      </c>
      <c r="O28" t="str">
        <v>PD-102</v>
      </c>
      <c r="P28" t="str">
        <v>Hard Drive</v>
      </c>
      <c r="Q28" t="str">
        <v>Storage</v>
      </c>
      <c r="R28">
        <v>247</v>
      </c>
      <c r="S28">
        <v>2729</v>
      </c>
      <c r="T28">
        <v>674063</v>
      </c>
      <c r="U28">
        <v>44817</v>
      </c>
      <c r="V28" t="str">
        <v>Multan</v>
      </c>
      <c r="W28" t="str">
        <v>First Class</v>
      </c>
      <c r="X28" t="str">
        <v>Corporate</v>
      </c>
      <c r="Y28" t="str">
        <v>COM3737</v>
      </c>
    </row>
    <row r="29" spans="1:25">
      <c r="A29">
        <v>1627</v>
      </c>
      <c r="B29" t="s">
        <v>220</v>
      </c>
      <c r="C29" t="str">
        <f>_xlfn.XLOOKUP(B29,product!$A$2:$A$20,product!$B$2:$B$20)</f>
        <v>Ethernet Cable</v>
      </c>
      <c r="D29" t="str">
        <f>_xlfn.XLOOKUP(C29,product!$B$2:$B$20,product!$C$2:$C$20)</f>
        <v>Cables &amp; Connectors</v>
      </c>
      <c r="E29">
        <v>289</v>
      </c>
      <c r="F29">
        <v>600</v>
      </c>
      <c r="G29">
        <v>173400</v>
      </c>
      <c r="H29">
        <v>44589</v>
      </c>
      <c r="I29" t="s">
        <v>90</v>
      </c>
      <c r="J29" t="s">
        <v>241</v>
      </c>
      <c r="K29" t="s">
        <v>235</v>
      </c>
      <c r="L29" t="s">
        <v>261</v>
      </c>
    </row>
    <row r="30" spans="1:25">
      <c r="A30">
        <v>1112</v>
      </c>
      <c r="B30" t="s">
        <v>208</v>
      </c>
      <c r="C30" t="str">
        <f>_xlfn.XLOOKUP(B30,product!$A$2:$A$20,product!$B$2:$B$20)</f>
        <v>Headset</v>
      </c>
      <c r="D30" t="str">
        <f>_xlfn.XLOOKUP(C30,product!$B$2:$B$20,product!$C$2:$C$20)</f>
        <v>Audio</v>
      </c>
      <c r="E30">
        <v>260</v>
      </c>
      <c r="F30">
        <v>1500</v>
      </c>
      <c r="G30">
        <v>390000</v>
      </c>
      <c r="H30">
        <v>44590</v>
      </c>
      <c r="I30" t="s">
        <v>243</v>
      </c>
      <c r="J30" t="s">
        <v>234</v>
      </c>
      <c r="K30" t="s">
        <v>239</v>
      </c>
      <c r="L30" t="s">
        <v>262</v>
      </c>
    </row>
    <row r="31" spans="1:25">
      <c r="A31">
        <v>1966</v>
      </c>
      <c r="B31" t="s">
        <v>211</v>
      </c>
      <c r="C31" t="str">
        <f>_xlfn.XLOOKUP(B31,product!$A$2:$A$20,product!$B$2:$B$20)</f>
        <v>Printer</v>
      </c>
      <c r="D31" t="str">
        <f>_xlfn.XLOOKUP(C31,product!$B$2:$B$20,product!$C$2:$C$20)</f>
        <v>Peripherals</v>
      </c>
      <c r="E31">
        <v>186</v>
      </c>
      <c r="F31">
        <v>11500</v>
      </c>
      <c r="G31">
        <v>2139000</v>
      </c>
      <c r="H31">
        <v>44591</v>
      </c>
      <c r="I31" t="s">
        <v>245</v>
      </c>
      <c r="J31" t="s">
        <v>238</v>
      </c>
      <c r="K31" t="s">
        <v>235</v>
      </c>
      <c r="L31" t="s">
        <v>263</v>
      </c>
    </row>
    <row r="32" spans="1:25">
      <c r="A32">
        <v>1600</v>
      </c>
      <c r="B32" t="s">
        <v>220</v>
      </c>
      <c r="C32" t="str">
        <f>_xlfn.XLOOKUP(B32,product!$A$2:$A$20,product!$B$2:$B$20)</f>
        <v>Ethernet Cable</v>
      </c>
      <c r="D32" t="str">
        <f>_xlfn.XLOOKUP(C32,product!$B$2:$B$20,product!$C$2:$C$20)</f>
        <v>Cables &amp; Connectors</v>
      </c>
      <c r="E32">
        <v>187</v>
      </c>
      <c r="F32">
        <v>600</v>
      </c>
      <c r="G32">
        <v>112200</v>
      </c>
      <c r="H32">
        <v>44592</v>
      </c>
      <c r="I32" t="s">
        <v>247</v>
      </c>
      <c r="J32" t="s">
        <v>241</v>
      </c>
      <c r="K32" t="s">
        <v>248</v>
      </c>
      <c r="L32" t="s">
        <v>236</v>
      </c>
    </row>
    <row r="33" spans="1:23">
      <c r="A33">
        <v>1919</v>
      </c>
      <c r="B33" t="s">
        <v>198</v>
      </c>
      <c r="C33" t="str">
        <f>_xlfn.XLOOKUP(B33,product!$A$2:$A$20,product!$B$2:$B$20)</f>
        <v>HDMI Cable</v>
      </c>
      <c r="D33" t="str">
        <f>_xlfn.XLOOKUP(C33,product!$B$2:$B$20,product!$C$2:$C$20)</f>
        <v>Cables &amp; Connectors</v>
      </c>
      <c r="E33">
        <v>149</v>
      </c>
      <c r="F33">
        <v>250</v>
      </c>
      <c r="G33">
        <v>37250</v>
      </c>
      <c r="H33">
        <v>44593</v>
      </c>
      <c r="I33" t="s">
        <v>250</v>
      </c>
      <c r="J33" t="s">
        <v>241</v>
      </c>
      <c r="K33" t="s">
        <v>239</v>
      </c>
      <c r="L33" t="s">
        <v>240</v>
      </c>
      <c r="N33" t="str" cm="1">
        <f t="array" ref="N33:W50">_xlfn.PIVOTBY(C1:C366,D1:D366,G1:G366,_xleta.SUM,3,1,1,1,1,K1:K366="Consumer",2)</f>
        <v/>
      </c>
      <c r="O33" t="str">
        <v>Category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 spans="1:23">
      <c r="A34">
        <v>1170</v>
      </c>
      <c r="B34" t="s">
        <v>184</v>
      </c>
      <c r="C34" t="str">
        <f>_xlfn.XLOOKUP(B34,product!$A$2:$A$20,product!$B$2:$B$20)</f>
        <v>Hard Drive</v>
      </c>
      <c r="D34" t="str">
        <f>_xlfn.XLOOKUP(C34,product!$B$2:$B$20,product!$C$2:$C$20)</f>
        <v>Storage</v>
      </c>
      <c r="E34">
        <v>253</v>
      </c>
      <c r="F34">
        <v>8000</v>
      </c>
      <c r="G34">
        <v>2024000</v>
      </c>
      <c r="H34">
        <v>44594</v>
      </c>
      <c r="I34" t="s">
        <v>64</v>
      </c>
      <c r="J34" t="s">
        <v>238</v>
      </c>
      <c r="K34" t="s">
        <v>248</v>
      </c>
      <c r="L34" t="s">
        <v>242</v>
      </c>
      <c r="N34" t="str">
        <v/>
      </c>
      <c r="O34" t="str">
        <v>Audio</v>
      </c>
      <c r="P34" t="str">
        <v>Cables &amp; Connectors</v>
      </c>
      <c r="Q34" t="str">
        <v>Display</v>
      </c>
      <c r="R34" t="str">
        <v>Input Device</v>
      </c>
      <c r="S34" t="str">
        <v>Internal Hardware</v>
      </c>
      <c r="T34" t="str">
        <v>Laptop Accessories</v>
      </c>
      <c r="U34" t="str">
        <v>Network</v>
      </c>
      <c r="V34" t="str">
        <v>Peripherals</v>
      </c>
      <c r="W34" t="str">
        <v>Total</v>
      </c>
    </row>
    <row r="35" spans="1:23">
      <c r="A35">
        <v>1366</v>
      </c>
      <c r="B35" t="s">
        <v>189</v>
      </c>
      <c r="C35" t="str">
        <f>_xlfn.XLOOKUP(B35,product!$A$2:$A$20,product!$B$2:$B$20)</f>
        <v>Monitor</v>
      </c>
      <c r="D35" t="str">
        <f>_xlfn.XLOOKUP(C35,product!$B$2:$B$20,product!$C$2:$C$20)</f>
        <v>Display</v>
      </c>
      <c r="E35">
        <v>222</v>
      </c>
      <c r="F35">
        <v>15000</v>
      </c>
      <c r="G35">
        <v>3330000</v>
      </c>
      <c r="H35">
        <v>44595</v>
      </c>
      <c r="I35" t="s">
        <v>245</v>
      </c>
      <c r="J35" t="s">
        <v>234</v>
      </c>
      <c r="K35" t="s">
        <v>239</v>
      </c>
      <c r="L35" t="s">
        <v>244</v>
      </c>
      <c r="N35" t="str">
        <v>Product</v>
      </c>
      <c r="O35" t="str">
        <v>Sales</v>
      </c>
      <c r="P35" t="str">
        <v>Sales</v>
      </c>
      <c r="Q35" t="str">
        <v>Sales</v>
      </c>
      <c r="R35" t="str">
        <v>Sales</v>
      </c>
      <c r="S35" t="str">
        <v>Sales</v>
      </c>
      <c r="T35" t="str">
        <v>Sales</v>
      </c>
      <c r="U35" t="str">
        <v>Sales</v>
      </c>
      <c r="V35" t="str">
        <v>Sales</v>
      </c>
      <c r="W35" t="str">
        <v>Sales</v>
      </c>
    </row>
    <row r="36" spans="1:23">
      <c r="A36">
        <v>1307</v>
      </c>
      <c r="B36" t="s">
        <v>194</v>
      </c>
      <c r="C36" t="str">
        <f>_xlfn.XLOOKUP(B36,product!$A$2:$A$20,product!$B$2:$B$20)</f>
        <v>RAM Module</v>
      </c>
      <c r="D36" t="str">
        <f>_xlfn.XLOOKUP(C36,product!$B$2:$B$20,product!$C$2:$C$20)</f>
        <v>Internal Hardware</v>
      </c>
      <c r="E36">
        <v>242</v>
      </c>
      <c r="F36">
        <v>7500</v>
      </c>
      <c r="G36">
        <v>1815000</v>
      </c>
      <c r="H36">
        <v>44596</v>
      </c>
      <c r="I36" t="s">
        <v>247</v>
      </c>
      <c r="J36" t="s">
        <v>241</v>
      </c>
      <c r="K36" t="s">
        <v>239</v>
      </c>
      <c r="L36" t="s">
        <v>246</v>
      </c>
      <c r="N36" t="str">
        <v>Cooling Pad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1215152</v>
      </c>
      <c r="U36" t="str">
        <v/>
      </c>
      <c r="V36" t="str">
        <v/>
      </c>
      <c r="W36">
        <v>1215152</v>
      </c>
    </row>
    <row r="37" spans="1:23">
      <c r="A37">
        <v>1820</v>
      </c>
      <c r="B37" t="s">
        <v>211</v>
      </c>
      <c r="C37" t="str">
        <f>_xlfn.XLOOKUP(B37,product!$A$2:$A$20,product!$B$2:$B$20)</f>
        <v>Printer</v>
      </c>
      <c r="D37" t="str">
        <f>_xlfn.XLOOKUP(C37,product!$B$2:$B$20,product!$C$2:$C$20)</f>
        <v>Peripherals</v>
      </c>
      <c r="E37">
        <v>184</v>
      </c>
      <c r="F37">
        <v>11500</v>
      </c>
      <c r="G37">
        <v>2116000</v>
      </c>
      <c r="H37">
        <v>44597</v>
      </c>
      <c r="I37" t="s">
        <v>250</v>
      </c>
      <c r="J37" t="s">
        <v>241</v>
      </c>
      <c r="K37" t="s">
        <v>248</v>
      </c>
      <c r="L37" t="s">
        <v>249</v>
      </c>
      <c r="N37" t="str">
        <v>Ethernet Cable</v>
      </c>
      <c r="O37" t="str">
        <v/>
      </c>
      <c r="P37">
        <v>1853598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>
        <v>1853598</v>
      </c>
    </row>
    <row r="38" spans="1:23">
      <c r="A38">
        <v>1835</v>
      </c>
      <c r="B38" t="s">
        <v>194</v>
      </c>
      <c r="C38" t="str">
        <f>_xlfn.XLOOKUP(B38,product!$A$2:$A$20,product!$B$2:$B$20)</f>
        <v>RAM Module</v>
      </c>
      <c r="D38" t="str">
        <f>_xlfn.XLOOKUP(C38,product!$B$2:$B$20,product!$C$2:$C$20)</f>
        <v>Internal Hardware</v>
      </c>
      <c r="E38">
        <v>276</v>
      </c>
      <c r="F38">
        <v>7500</v>
      </c>
      <c r="G38">
        <v>2070000</v>
      </c>
      <c r="H38">
        <v>44598</v>
      </c>
      <c r="I38" t="s">
        <v>64</v>
      </c>
      <c r="J38" t="s">
        <v>234</v>
      </c>
      <c r="K38" t="s">
        <v>248</v>
      </c>
      <c r="L38" t="s">
        <v>251</v>
      </c>
      <c r="N38" t="str">
        <v>HDMI Cable</v>
      </c>
      <c r="O38" t="str">
        <v/>
      </c>
      <c r="P38">
        <v>5010357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>
        <v>5010357</v>
      </c>
    </row>
    <row r="39" spans="1:23">
      <c r="A39">
        <v>1866</v>
      </c>
      <c r="B39" t="s">
        <v>206</v>
      </c>
      <c r="C39" t="str">
        <f>_xlfn.XLOOKUP(B39,product!$A$2:$A$20,product!$B$2:$B$20)</f>
        <v>Cooling Pad</v>
      </c>
      <c r="D39" t="str">
        <f>_xlfn.XLOOKUP(C39,product!$B$2:$B$20,product!$C$2:$C$20)</f>
        <v>Laptop Accessories</v>
      </c>
      <c r="E39">
        <v>225</v>
      </c>
      <c r="F39">
        <v>650</v>
      </c>
      <c r="G39">
        <v>146250</v>
      </c>
      <c r="H39">
        <v>44599</v>
      </c>
      <c r="I39" t="s">
        <v>59</v>
      </c>
      <c r="J39" t="s">
        <v>234</v>
      </c>
      <c r="K39" t="s">
        <v>235</v>
      </c>
      <c r="L39" t="s">
        <v>252</v>
      </c>
      <c r="N39" t="str">
        <v>Headset</v>
      </c>
      <c r="O39">
        <v>13461945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>
        <v>13461945</v>
      </c>
    </row>
    <row r="40" spans="1:23">
      <c r="A40">
        <v>1900</v>
      </c>
      <c r="B40" t="s">
        <v>187</v>
      </c>
      <c r="C40" t="str">
        <f>_xlfn.XLOOKUP(B40,product!$A$2:$A$20,product!$B$2:$B$20)</f>
        <v>USB Flash Drive</v>
      </c>
      <c r="D40" t="str">
        <f>_xlfn.XLOOKUP(C40,product!$B$2:$B$20,product!$C$2:$C$20)</f>
        <v>Storage</v>
      </c>
      <c r="E40">
        <v>255</v>
      </c>
      <c r="F40">
        <v>600</v>
      </c>
      <c r="G40">
        <v>153000</v>
      </c>
      <c r="H40">
        <v>44600</v>
      </c>
      <c r="I40" t="s">
        <v>254</v>
      </c>
      <c r="J40" t="s">
        <v>234</v>
      </c>
      <c r="K40" t="s">
        <v>248</v>
      </c>
      <c r="L40" t="s">
        <v>253</v>
      </c>
      <c r="N40" t="str">
        <v>Keyboard</v>
      </c>
      <c r="O40" t="str">
        <v/>
      </c>
      <c r="P40" t="str">
        <v/>
      </c>
      <c r="Q40" t="str">
        <v/>
      </c>
      <c r="R40">
        <v>5029071</v>
      </c>
      <c r="S40" t="str">
        <v/>
      </c>
      <c r="T40" t="str">
        <v/>
      </c>
      <c r="U40" t="str">
        <v/>
      </c>
      <c r="V40" t="str">
        <v/>
      </c>
      <c r="W40">
        <v>5029071</v>
      </c>
    </row>
    <row r="41" spans="1:23">
      <c r="A41">
        <v>1968</v>
      </c>
      <c r="B41" t="s">
        <v>213</v>
      </c>
      <c r="C41" t="str">
        <f>_xlfn.XLOOKUP(B41,product!$A$2:$A$20,product!$B$2:$B$20)</f>
        <v>Scanner</v>
      </c>
      <c r="D41" t="str">
        <f>_xlfn.XLOOKUP(C41,product!$B$2:$B$20,product!$C$2:$C$20)</f>
        <v>Peripherals</v>
      </c>
      <c r="E41">
        <v>298</v>
      </c>
      <c r="F41">
        <v>7600</v>
      </c>
      <c r="G41">
        <v>2264800</v>
      </c>
      <c r="H41">
        <v>44601</v>
      </c>
      <c r="I41" t="s">
        <v>256</v>
      </c>
      <c r="J41" t="s">
        <v>241</v>
      </c>
      <c r="K41" t="s">
        <v>235</v>
      </c>
      <c r="L41" t="s">
        <v>255</v>
      </c>
      <c r="N41" t="str">
        <v>Laptop Bag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1787264</v>
      </c>
      <c r="U41" t="str">
        <v/>
      </c>
      <c r="V41" t="str">
        <v/>
      </c>
      <c r="W41">
        <v>1787264</v>
      </c>
    </row>
    <row r="42" spans="1:23">
      <c r="A42">
        <v>1302</v>
      </c>
      <c r="B42" t="s">
        <v>220</v>
      </c>
      <c r="C42" t="str">
        <f>_xlfn.XLOOKUP(B42,product!$A$2:$A$20,product!$B$2:$B$20)</f>
        <v>Ethernet Cable</v>
      </c>
      <c r="D42" t="str">
        <f>_xlfn.XLOOKUP(C42,product!$B$2:$B$20,product!$C$2:$C$20)</f>
        <v>Cables &amp; Connectors</v>
      </c>
      <c r="E42">
        <v>212</v>
      </c>
      <c r="F42">
        <v>600</v>
      </c>
      <c r="G42">
        <v>127200</v>
      </c>
      <c r="H42">
        <v>44602</v>
      </c>
      <c r="I42" t="s">
        <v>258</v>
      </c>
      <c r="J42" t="s">
        <v>234</v>
      </c>
      <c r="K42" t="s">
        <v>239</v>
      </c>
      <c r="L42" t="s">
        <v>257</v>
      </c>
      <c r="N42" t="str">
        <v>Laptop Stand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1782373</v>
      </c>
      <c r="U42" t="str">
        <v/>
      </c>
      <c r="V42" t="str">
        <v/>
      </c>
      <c r="W42">
        <v>1782373</v>
      </c>
    </row>
    <row r="43" spans="1:23">
      <c r="A43">
        <v>1246</v>
      </c>
      <c r="B43" t="s">
        <v>201</v>
      </c>
      <c r="C43" t="str">
        <f>_xlfn.XLOOKUP(B43,product!$A$2:$A$20,product!$B$2:$B$20)</f>
        <v>Webcam</v>
      </c>
      <c r="D43" t="str">
        <f>_xlfn.XLOOKUP(C43,product!$B$2:$B$20,product!$C$2:$C$20)</f>
        <v>Peripherals</v>
      </c>
      <c r="E43">
        <v>107</v>
      </c>
      <c r="F43">
        <v>3500</v>
      </c>
      <c r="G43">
        <v>374500</v>
      </c>
      <c r="H43">
        <v>44603</v>
      </c>
      <c r="I43" t="s">
        <v>260</v>
      </c>
      <c r="J43" t="s">
        <v>241</v>
      </c>
      <c r="K43" t="s">
        <v>248</v>
      </c>
      <c r="L43" t="s">
        <v>259</v>
      </c>
      <c r="N43" t="str">
        <v>Monitor</v>
      </c>
      <c r="O43" t="str">
        <v/>
      </c>
      <c r="P43" t="str">
        <v/>
      </c>
      <c r="Q43">
        <v>19396419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>
        <v>19396419</v>
      </c>
    </row>
    <row r="44" spans="1:23">
      <c r="A44">
        <v>1788</v>
      </c>
      <c r="B44" t="s">
        <v>187</v>
      </c>
      <c r="C44" t="str">
        <f>_xlfn.XLOOKUP(B44,product!$A$2:$A$20,product!$B$2:$B$20)</f>
        <v>USB Flash Drive</v>
      </c>
      <c r="D44" t="str">
        <f>_xlfn.XLOOKUP(C44,product!$B$2:$B$20,product!$C$2:$C$20)</f>
        <v>Storage</v>
      </c>
      <c r="E44">
        <v>162</v>
      </c>
      <c r="F44">
        <v>600</v>
      </c>
      <c r="G44">
        <v>97200</v>
      </c>
      <c r="H44">
        <v>44604</v>
      </c>
      <c r="I44" t="s">
        <v>233</v>
      </c>
      <c r="J44" t="s">
        <v>238</v>
      </c>
      <c r="K44" t="s">
        <v>248</v>
      </c>
      <c r="L44" t="s">
        <v>261</v>
      </c>
      <c r="N44" t="str">
        <v>Mouse</v>
      </c>
      <c r="O44" t="str">
        <v/>
      </c>
      <c r="P44" t="str">
        <v/>
      </c>
      <c r="Q44" t="str">
        <v/>
      </c>
      <c r="R44">
        <v>3370704</v>
      </c>
      <c r="S44" t="str">
        <v/>
      </c>
      <c r="T44" t="str">
        <v/>
      </c>
      <c r="U44" t="str">
        <v/>
      </c>
      <c r="V44" t="str">
        <v/>
      </c>
      <c r="W44">
        <v>3370704</v>
      </c>
    </row>
    <row r="45" spans="1:23">
      <c r="A45">
        <v>1999</v>
      </c>
      <c r="B45" t="s">
        <v>203</v>
      </c>
      <c r="C45" t="str">
        <f>_xlfn.XLOOKUP(B45,product!$A$2:$A$20,product!$B$2:$B$20)</f>
        <v>Laptop Stand</v>
      </c>
      <c r="D45" t="str">
        <f>_xlfn.XLOOKUP(C45,product!$B$2:$B$20,product!$C$2:$C$20)</f>
        <v>Laptop Accessories</v>
      </c>
      <c r="E45">
        <v>234</v>
      </c>
      <c r="F45">
        <v>500</v>
      </c>
      <c r="G45">
        <v>117000</v>
      </c>
      <c r="H45">
        <v>44605</v>
      </c>
      <c r="I45" t="s">
        <v>237</v>
      </c>
      <c r="J45" t="s">
        <v>234</v>
      </c>
      <c r="K45" t="s">
        <v>239</v>
      </c>
      <c r="L45" t="s">
        <v>262</v>
      </c>
      <c r="N45" t="str">
        <v>RAM Module</v>
      </c>
      <c r="O45" t="str">
        <v/>
      </c>
      <c r="P45" t="str">
        <v/>
      </c>
      <c r="Q45" t="str">
        <v/>
      </c>
      <c r="R45" t="str">
        <v/>
      </c>
      <c r="S45">
        <v>7238722</v>
      </c>
      <c r="T45" t="str">
        <v/>
      </c>
      <c r="U45" t="str">
        <v/>
      </c>
      <c r="V45" t="str">
        <v/>
      </c>
      <c r="W45">
        <v>7238722</v>
      </c>
    </row>
    <row r="46" spans="1:23">
      <c r="A46">
        <v>1889</v>
      </c>
      <c r="B46" t="s">
        <v>189</v>
      </c>
      <c r="C46" t="str">
        <f>_xlfn.XLOOKUP(B46,product!$A$2:$A$20,product!$B$2:$B$20)</f>
        <v>Monitor</v>
      </c>
      <c r="D46" t="str">
        <f>_xlfn.XLOOKUP(C46,product!$B$2:$B$20,product!$C$2:$C$20)</f>
        <v>Display</v>
      </c>
      <c r="E46">
        <v>166</v>
      </c>
      <c r="F46">
        <v>15000</v>
      </c>
      <c r="G46">
        <v>2490000</v>
      </c>
      <c r="H46">
        <v>44606</v>
      </c>
      <c r="I46" t="s">
        <v>90</v>
      </c>
      <c r="J46" t="s">
        <v>238</v>
      </c>
      <c r="K46" t="s">
        <v>239</v>
      </c>
      <c r="L46" t="s">
        <v>263</v>
      </c>
      <c r="N46" t="str">
        <v>Speakers</v>
      </c>
      <c r="O46">
        <v>5589941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>
        <v>5589941</v>
      </c>
    </row>
    <row r="47" spans="1:23">
      <c r="A47">
        <v>1525</v>
      </c>
      <c r="B47" t="s">
        <v>194</v>
      </c>
      <c r="C47" t="str">
        <f>_xlfn.XLOOKUP(B47,product!$A$2:$A$20,product!$B$2:$B$20)</f>
        <v>RAM Module</v>
      </c>
      <c r="D47" t="str">
        <f>_xlfn.XLOOKUP(C47,product!$B$2:$B$20,product!$C$2:$C$20)</f>
        <v>Internal Hardware</v>
      </c>
      <c r="E47">
        <v>277</v>
      </c>
      <c r="F47">
        <v>7500</v>
      </c>
      <c r="G47">
        <v>2077500</v>
      </c>
      <c r="H47">
        <v>44607</v>
      </c>
      <c r="I47" t="s">
        <v>243</v>
      </c>
      <c r="J47" t="s">
        <v>241</v>
      </c>
      <c r="K47" t="s">
        <v>248</v>
      </c>
      <c r="L47" t="s">
        <v>236</v>
      </c>
      <c r="N47" t="str">
        <v>SSD</v>
      </c>
      <c r="O47" t="str">
        <v/>
      </c>
      <c r="P47" t="str">
        <v/>
      </c>
      <c r="Q47" t="str">
        <v/>
      </c>
      <c r="R47" t="str">
        <v/>
      </c>
      <c r="S47">
        <v>5009112</v>
      </c>
      <c r="T47" t="str">
        <v/>
      </c>
      <c r="U47" t="str">
        <v/>
      </c>
      <c r="V47" t="str">
        <v/>
      </c>
      <c r="W47">
        <v>5009112</v>
      </c>
    </row>
    <row r="48" spans="1:23">
      <c r="A48">
        <v>1302</v>
      </c>
      <c r="B48" t="s">
        <v>220</v>
      </c>
      <c r="C48" t="str">
        <f>_xlfn.XLOOKUP(B48,product!$A$2:$A$20,product!$B$2:$B$20)</f>
        <v>Ethernet Cable</v>
      </c>
      <c r="D48" t="str">
        <f>_xlfn.XLOOKUP(C48,product!$B$2:$B$20,product!$C$2:$C$20)</f>
        <v>Cables &amp; Connectors</v>
      </c>
      <c r="E48">
        <v>147</v>
      </c>
      <c r="F48">
        <v>600</v>
      </c>
      <c r="G48">
        <v>88200</v>
      </c>
      <c r="H48">
        <v>44608</v>
      </c>
      <c r="I48" t="s">
        <v>245</v>
      </c>
      <c r="J48" t="s">
        <v>234</v>
      </c>
      <c r="K48" t="s">
        <v>248</v>
      </c>
      <c r="L48" t="s">
        <v>240</v>
      </c>
      <c r="N48" t="str">
        <v>Webcam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>
        <v>2020277</v>
      </c>
      <c r="W48">
        <v>2020277</v>
      </c>
    </row>
    <row r="49" spans="1:23">
      <c r="A49">
        <v>1914</v>
      </c>
      <c r="B49" t="s">
        <v>217</v>
      </c>
      <c r="C49" t="str">
        <f>_xlfn.XLOOKUP(B49,product!$A$2:$A$20,product!$B$2:$B$20)</f>
        <v>Wireless Router</v>
      </c>
      <c r="D49" t="str">
        <f>_xlfn.XLOOKUP(C49,product!$B$2:$B$20,product!$C$2:$C$20)</f>
        <v>Network</v>
      </c>
      <c r="E49">
        <v>210</v>
      </c>
      <c r="F49">
        <v>1350</v>
      </c>
      <c r="G49">
        <v>283500</v>
      </c>
      <c r="H49">
        <v>44609</v>
      </c>
      <c r="I49" t="s">
        <v>247</v>
      </c>
      <c r="J49" t="s">
        <v>241</v>
      </c>
      <c r="K49" t="s">
        <v>239</v>
      </c>
      <c r="L49" t="s">
        <v>242</v>
      </c>
      <c r="N49" t="str">
        <v>Wireless Router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4686219</v>
      </c>
      <c r="V49" t="str">
        <v/>
      </c>
      <c r="W49">
        <v>4686219</v>
      </c>
    </row>
    <row r="50" spans="1:23">
      <c r="A50">
        <v>1901</v>
      </c>
      <c r="B50" t="s">
        <v>217</v>
      </c>
      <c r="C50" t="str">
        <f>_xlfn.XLOOKUP(B50,product!$A$2:$A$20,product!$B$2:$B$20)</f>
        <v>Wireless Router</v>
      </c>
      <c r="D50" t="str">
        <f>_xlfn.XLOOKUP(C50,product!$B$2:$B$20,product!$C$2:$C$20)</f>
        <v>Network</v>
      </c>
      <c r="E50">
        <v>294</v>
      </c>
      <c r="F50">
        <v>1350</v>
      </c>
      <c r="G50">
        <v>396900</v>
      </c>
      <c r="H50">
        <v>44610</v>
      </c>
      <c r="I50" t="s">
        <v>250</v>
      </c>
      <c r="J50" t="s">
        <v>241</v>
      </c>
      <c r="K50" t="s">
        <v>235</v>
      </c>
      <c r="L50" t="s">
        <v>244</v>
      </c>
      <c r="N50" t="str">
        <v>Total</v>
      </c>
      <c r="O50">
        <v>19051886</v>
      </c>
      <c r="P50">
        <v>6863955</v>
      </c>
      <c r="Q50">
        <v>19396419</v>
      </c>
      <c r="R50">
        <v>8399775</v>
      </c>
      <c r="S50">
        <v>12247834</v>
      </c>
      <c r="T50">
        <v>4784789</v>
      </c>
      <c r="U50">
        <v>4686219</v>
      </c>
      <c r="V50">
        <v>2020277</v>
      </c>
      <c r="W50">
        <v>77451154</v>
      </c>
    </row>
    <row r="51" spans="1:23">
      <c r="A51">
        <v>1333</v>
      </c>
      <c r="B51" t="s">
        <v>208</v>
      </c>
      <c r="C51" t="str">
        <f>_xlfn.XLOOKUP(B51,product!$A$2:$A$20,product!$B$2:$B$20)</f>
        <v>Headset</v>
      </c>
      <c r="D51" t="str">
        <f>_xlfn.XLOOKUP(C51,product!$B$2:$B$20,product!$C$2:$C$20)</f>
        <v>Audio</v>
      </c>
      <c r="E51">
        <v>240</v>
      </c>
      <c r="F51">
        <v>1500</v>
      </c>
      <c r="G51">
        <v>360000</v>
      </c>
      <c r="H51">
        <v>44611</v>
      </c>
      <c r="I51" t="s">
        <v>64</v>
      </c>
      <c r="J51" t="s">
        <v>238</v>
      </c>
      <c r="K51" t="s">
        <v>239</v>
      </c>
      <c r="L51" t="s">
        <v>246</v>
      </c>
    </row>
    <row r="52" spans="1:23">
      <c r="A52">
        <v>1104</v>
      </c>
      <c r="B52" t="s">
        <v>198</v>
      </c>
      <c r="C52" t="str">
        <f>_xlfn.XLOOKUP(B52,product!$A$2:$A$20,product!$B$2:$B$20)</f>
        <v>HDMI Cable</v>
      </c>
      <c r="D52" t="str">
        <f>_xlfn.XLOOKUP(C52,product!$B$2:$B$20,product!$C$2:$C$20)</f>
        <v>Cables &amp; Connectors</v>
      </c>
      <c r="E52">
        <v>170</v>
      </c>
      <c r="F52">
        <v>250</v>
      </c>
      <c r="G52">
        <v>42500</v>
      </c>
      <c r="H52">
        <v>44612</v>
      </c>
      <c r="I52" t="s">
        <v>254</v>
      </c>
      <c r="J52" t="s">
        <v>241</v>
      </c>
      <c r="K52" t="s">
        <v>239</v>
      </c>
      <c r="L52" t="s">
        <v>249</v>
      </c>
    </row>
    <row r="53" spans="1:23">
      <c r="A53">
        <v>1803</v>
      </c>
      <c r="B53" t="s">
        <v>217</v>
      </c>
      <c r="C53" t="str">
        <f>_xlfn.XLOOKUP(B53,product!$A$2:$A$20,product!$B$2:$B$20)</f>
        <v>Wireless Router</v>
      </c>
      <c r="D53" t="str">
        <f>_xlfn.XLOOKUP(C53,product!$B$2:$B$20,product!$C$2:$C$20)</f>
        <v>Network</v>
      </c>
      <c r="E53">
        <v>188</v>
      </c>
      <c r="F53">
        <v>1350</v>
      </c>
      <c r="G53">
        <v>253800</v>
      </c>
      <c r="H53">
        <v>44613</v>
      </c>
      <c r="I53" t="s">
        <v>256</v>
      </c>
      <c r="J53" t="s">
        <v>241</v>
      </c>
      <c r="K53" t="s">
        <v>239</v>
      </c>
      <c r="L53" t="s">
        <v>251</v>
      </c>
    </row>
    <row r="54" spans="1:23">
      <c r="A54">
        <v>1539</v>
      </c>
      <c r="B54" t="s">
        <v>203</v>
      </c>
      <c r="C54" t="str">
        <f>_xlfn.XLOOKUP(B54,product!$A$2:$A$20,product!$B$2:$B$20)</f>
        <v>Laptop Stand</v>
      </c>
      <c r="D54" t="str">
        <f>_xlfn.XLOOKUP(C54,product!$B$2:$B$20,product!$C$2:$C$20)</f>
        <v>Laptop Accessories</v>
      </c>
      <c r="E54">
        <v>279</v>
      </c>
      <c r="F54">
        <v>500</v>
      </c>
      <c r="G54">
        <v>139500</v>
      </c>
      <c r="H54">
        <v>44614</v>
      </c>
      <c r="I54" t="s">
        <v>258</v>
      </c>
      <c r="J54" t="s">
        <v>238</v>
      </c>
      <c r="K54" t="s">
        <v>248</v>
      </c>
      <c r="L54" t="s">
        <v>252</v>
      </c>
    </row>
    <row r="55" spans="1:23">
      <c r="A55">
        <v>1085</v>
      </c>
      <c r="B55" t="s">
        <v>208</v>
      </c>
      <c r="C55" t="str">
        <f>_xlfn.XLOOKUP(B55,product!$A$2:$A$20,product!$B$2:$B$20)</f>
        <v>Headset</v>
      </c>
      <c r="D55" t="str">
        <f>_xlfn.XLOOKUP(C55,product!$B$2:$B$20,product!$C$2:$C$20)</f>
        <v>Audio</v>
      </c>
      <c r="E55">
        <v>152</v>
      </c>
      <c r="F55">
        <v>1500</v>
      </c>
      <c r="G55">
        <v>228000</v>
      </c>
      <c r="H55">
        <v>44615</v>
      </c>
      <c r="I55" t="s">
        <v>260</v>
      </c>
      <c r="J55" t="s">
        <v>234</v>
      </c>
      <c r="K55" t="s">
        <v>239</v>
      </c>
      <c r="L55" t="s">
        <v>253</v>
      </c>
    </row>
    <row r="56" spans="1:23">
      <c r="A56">
        <v>1992</v>
      </c>
      <c r="B56" t="s">
        <v>198</v>
      </c>
      <c r="C56" t="str">
        <f>_xlfn.XLOOKUP(B56,product!$A$2:$A$20,product!$B$2:$B$20)</f>
        <v>HDMI Cable</v>
      </c>
      <c r="D56" t="str">
        <f>_xlfn.XLOOKUP(C56,product!$B$2:$B$20,product!$C$2:$C$20)</f>
        <v>Cables &amp; Connectors</v>
      </c>
      <c r="E56">
        <v>250</v>
      </c>
      <c r="F56">
        <v>250</v>
      </c>
      <c r="G56">
        <v>62500</v>
      </c>
      <c r="H56">
        <v>44616</v>
      </c>
      <c r="I56" t="s">
        <v>233</v>
      </c>
      <c r="J56" t="s">
        <v>238</v>
      </c>
      <c r="K56" t="s">
        <v>235</v>
      </c>
      <c r="L56" t="s">
        <v>255</v>
      </c>
    </row>
    <row r="57" spans="1:23">
      <c r="A57">
        <v>1009</v>
      </c>
      <c r="B57" t="s">
        <v>184</v>
      </c>
      <c r="C57" t="str">
        <f>_xlfn.XLOOKUP(B57,product!$A$2:$A$20,product!$B$2:$B$20)</f>
        <v>Hard Drive</v>
      </c>
      <c r="D57" t="str">
        <f>_xlfn.XLOOKUP(C57,product!$B$2:$B$20,product!$C$2:$C$20)</f>
        <v>Storage</v>
      </c>
      <c r="E57">
        <v>162</v>
      </c>
      <c r="F57">
        <v>8000</v>
      </c>
      <c r="G57">
        <v>1296000</v>
      </c>
      <c r="H57">
        <v>44617</v>
      </c>
      <c r="I57" t="s">
        <v>237</v>
      </c>
      <c r="J57" t="s">
        <v>234</v>
      </c>
      <c r="K57" t="s">
        <v>248</v>
      </c>
      <c r="L57" t="s">
        <v>257</v>
      </c>
    </row>
    <row r="58" spans="1:23">
      <c r="A58">
        <v>1509</v>
      </c>
      <c r="B58" t="s">
        <v>208</v>
      </c>
      <c r="C58" t="str">
        <f>_xlfn.XLOOKUP(B58,product!$A$2:$A$20,product!$B$2:$B$20)</f>
        <v>Headset</v>
      </c>
      <c r="D58" t="str">
        <f>_xlfn.XLOOKUP(C58,product!$B$2:$B$20,product!$C$2:$C$20)</f>
        <v>Audio</v>
      </c>
      <c r="E58">
        <v>177</v>
      </c>
      <c r="F58">
        <v>1500</v>
      </c>
      <c r="G58">
        <v>265500</v>
      </c>
      <c r="H58">
        <v>44618</v>
      </c>
      <c r="I58" t="s">
        <v>90</v>
      </c>
      <c r="J58" t="s">
        <v>234</v>
      </c>
      <c r="K58" t="s">
        <v>239</v>
      </c>
      <c r="L58" t="s">
        <v>259</v>
      </c>
    </row>
    <row r="59" spans="1:23">
      <c r="A59">
        <v>1162</v>
      </c>
      <c r="B59" t="s">
        <v>189</v>
      </c>
      <c r="C59" t="str">
        <f>_xlfn.XLOOKUP(B59,product!$A$2:$A$20,product!$B$2:$B$20)</f>
        <v>Monitor</v>
      </c>
      <c r="D59" t="str">
        <f>_xlfn.XLOOKUP(C59,product!$B$2:$B$20,product!$C$2:$C$20)</f>
        <v>Display</v>
      </c>
      <c r="E59">
        <v>297</v>
      </c>
      <c r="F59">
        <v>15000</v>
      </c>
      <c r="G59">
        <v>4455000</v>
      </c>
      <c r="H59">
        <v>44619</v>
      </c>
      <c r="I59" t="s">
        <v>243</v>
      </c>
      <c r="J59" t="s">
        <v>241</v>
      </c>
      <c r="K59" t="s">
        <v>239</v>
      </c>
      <c r="L59" t="s">
        <v>261</v>
      </c>
    </row>
    <row r="60" spans="1:23">
      <c r="A60">
        <v>1482</v>
      </c>
      <c r="B60" t="s">
        <v>191</v>
      </c>
      <c r="C60" t="str">
        <f>_xlfn.XLOOKUP(B60,product!$A$2:$A$20,product!$B$2:$B$20)</f>
        <v>Graphics Card</v>
      </c>
      <c r="D60" t="str">
        <f>_xlfn.XLOOKUP(C60,product!$B$2:$B$20,product!$C$2:$C$20)</f>
        <v>Internal Hardware</v>
      </c>
      <c r="E60">
        <v>217</v>
      </c>
      <c r="F60">
        <v>12000</v>
      </c>
      <c r="G60">
        <v>2604000</v>
      </c>
      <c r="H60">
        <v>44620</v>
      </c>
      <c r="I60" t="s">
        <v>245</v>
      </c>
      <c r="J60" t="s">
        <v>234</v>
      </c>
      <c r="K60" t="s">
        <v>248</v>
      </c>
      <c r="L60" t="s">
        <v>262</v>
      </c>
    </row>
    <row r="61" spans="1:23">
      <c r="A61">
        <v>1289</v>
      </c>
      <c r="B61" t="s">
        <v>211</v>
      </c>
      <c r="C61" t="str">
        <f>_xlfn.XLOOKUP(B61,product!$A$2:$A$20,product!$B$2:$B$20)</f>
        <v>Printer</v>
      </c>
      <c r="D61" t="str">
        <f>_xlfn.XLOOKUP(C61,product!$B$2:$B$20,product!$C$2:$C$20)</f>
        <v>Peripherals</v>
      </c>
      <c r="E61">
        <v>101</v>
      </c>
      <c r="F61">
        <v>11500</v>
      </c>
      <c r="G61">
        <v>1161500</v>
      </c>
      <c r="H61">
        <v>44621</v>
      </c>
      <c r="I61" t="s">
        <v>247</v>
      </c>
      <c r="J61" t="s">
        <v>238</v>
      </c>
      <c r="K61" t="s">
        <v>235</v>
      </c>
      <c r="L61" t="s">
        <v>263</v>
      </c>
    </row>
    <row r="62" spans="1:23">
      <c r="A62">
        <v>1602</v>
      </c>
      <c r="B62" t="s">
        <v>194</v>
      </c>
      <c r="C62" t="str">
        <f>_xlfn.XLOOKUP(B62,product!$A$2:$A$20,product!$B$2:$B$20)</f>
        <v>RAM Module</v>
      </c>
      <c r="D62" t="str">
        <f>_xlfn.XLOOKUP(C62,product!$B$2:$B$20,product!$C$2:$C$20)</f>
        <v>Internal Hardware</v>
      </c>
      <c r="E62">
        <v>227</v>
      </c>
      <c r="F62">
        <v>7500</v>
      </c>
      <c r="G62">
        <v>1702500</v>
      </c>
      <c r="H62">
        <v>44622</v>
      </c>
      <c r="I62" t="s">
        <v>250</v>
      </c>
      <c r="J62" t="s">
        <v>241</v>
      </c>
      <c r="K62" t="s">
        <v>248</v>
      </c>
      <c r="L62" t="s">
        <v>236</v>
      </c>
    </row>
    <row r="63" spans="1:23">
      <c r="A63">
        <v>1434</v>
      </c>
      <c r="B63" t="s">
        <v>194</v>
      </c>
      <c r="C63" t="str">
        <f>_xlfn.XLOOKUP(B63,product!$A$2:$A$20,product!$B$2:$B$20)</f>
        <v>RAM Module</v>
      </c>
      <c r="D63" t="str">
        <f>_xlfn.XLOOKUP(C63,product!$B$2:$B$20,product!$C$2:$C$20)</f>
        <v>Internal Hardware</v>
      </c>
      <c r="E63">
        <v>214</v>
      </c>
      <c r="F63">
        <v>7500</v>
      </c>
      <c r="G63">
        <v>1605000</v>
      </c>
      <c r="H63">
        <v>44623</v>
      </c>
      <c r="I63" t="s">
        <v>64</v>
      </c>
      <c r="J63" t="s">
        <v>238</v>
      </c>
      <c r="K63" t="s">
        <v>248</v>
      </c>
      <c r="L63" t="s">
        <v>240</v>
      </c>
    </row>
    <row r="64" spans="1:23">
      <c r="A64">
        <v>1338</v>
      </c>
      <c r="B64" t="s">
        <v>191</v>
      </c>
      <c r="C64" t="str">
        <f>_xlfn.XLOOKUP(B64,product!$A$2:$A$20,product!$B$2:$B$20)</f>
        <v>Graphics Card</v>
      </c>
      <c r="D64" t="str">
        <f>_xlfn.XLOOKUP(C64,product!$B$2:$B$20,product!$C$2:$C$20)</f>
        <v>Internal Hardware</v>
      </c>
      <c r="E64">
        <v>272</v>
      </c>
      <c r="F64">
        <v>12000</v>
      </c>
      <c r="G64">
        <v>3264000</v>
      </c>
      <c r="H64">
        <v>44624</v>
      </c>
      <c r="I64" t="s">
        <v>245</v>
      </c>
      <c r="J64" t="s">
        <v>238</v>
      </c>
      <c r="K64" t="s">
        <v>235</v>
      </c>
      <c r="L64" t="s">
        <v>242</v>
      </c>
    </row>
    <row r="65" spans="1:12">
      <c r="A65">
        <v>1696</v>
      </c>
      <c r="B65" t="s">
        <v>201</v>
      </c>
      <c r="C65" t="str">
        <f>_xlfn.XLOOKUP(B65,product!$A$2:$A$20,product!$B$2:$B$20)</f>
        <v>Webcam</v>
      </c>
      <c r="D65" t="str">
        <f>_xlfn.XLOOKUP(C65,product!$B$2:$B$20,product!$C$2:$C$20)</f>
        <v>Peripherals</v>
      </c>
      <c r="E65">
        <v>179</v>
      </c>
      <c r="F65">
        <v>3500</v>
      </c>
      <c r="G65">
        <v>626500</v>
      </c>
      <c r="H65">
        <v>44625</v>
      </c>
      <c r="I65" t="s">
        <v>247</v>
      </c>
      <c r="J65" t="s">
        <v>238</v>
      </c>
      <c r="K65" t="s">
        <v>235</v>
      </c>
      <c r="L65" t="s">
        <v>244</v>
      </c>
    </row>
    <row r="66" spans="1:12">
      <c r="A66">
        <v>1262</v>
      </c>
      <c r="B66" t="s">
        <v>183</v>
      </c>
      <c r="C66" t="str">
        <f>_xlfn.XLOOKUP(B66,product!$A$2:$A$20,product!$B$2:$B$20)</f>
        <v>Mouse</v>
      </c>
      <c r="D66" t="str">
        <f>_xlfn.XLOOKUP(C66,product!$B$2:$B$20,product!$C$2:$C$20)</f>
        <v>Input Device</v>
      </c>
      <c r="E66">
        <v>160</v>
      </c>
      <c r="F66">
        <v>500</v>
      </c>
      <c r="G66">
        <v>80000</v>
      </c>
      <c r="H66">
        <v>44626</v>
      </c>
      <c r="I66" t="s">
        <v>250</v>
      </c>
      <c r="J66" t="s">
        <v>234</v>
      </c>
      <c r="K66" t="s">
        <v>239</v>
      </c>
      <c r="L66" t="s">
        <v>246</v>
      </c>
    </row>
    <row r="67" spans="1:12">
      <c r="A67">
        <v>1132</v>
      </c>
      <c r="B67" t="s">
        <v>191</v>
      </c>
      <c r="C67" t="str">
        <f>_xlfn.XLOOKUP(B67,product!$A$2:$A$20,product!$B$2:$B$20)</f>
        <v>Graphics Card</v>
      </c>
      <c r="D67" t="str">
        <f>_xlfn.XLOOKUP(C67,product!$B$2:$B$20,product!$C$2:$C$20)</f>
        <v>Internal Hardware</v>
      </c>
      <c r="E67">
        <v>195</v>
      </c>
      <c r="F67">
        <v>12000</v>
      </c>
      <c r="G67">
        <v>2340000</v>
      </c>
      <c r="H67">
        <v>44627</v>
      </c>
      <c r="I67" t="s">
        <v>64</v>
      </c>
      <c r="J67" t="s">
        <v>238</v>
      </c>
      <c r="K67" t="s">
        <v>235</v>
      </c>
      <c r="L67" t="s">
        <v>249</v>
      </c>
    </row>
    <row r="68" spans="1:12">
      <c r="A68">
        <v>1555</v>
      </c>
      <c r="B68" t="s">
        <v>215</v>
      </c>
      <c r="C68" t="str">
        <f>_xlfn.XLOOKUP(B68,product!$A$2:$A$20,product!$B$2:$B$20)</f>
        <v>Speakers</v>
      </c>
      <c r="D68" t="str">
        <f>_xlfn.XLOOKUP(C68,product!$B$2:$B$20,product!$C$2:$C$20)</f>
        <v>Audio</v>
      </c>
      <c r="E68">
        <v>286</v>
      </c>
      <c r="F68">
        <v>5300</v>
      </c>
      <c r="G68">
        <v>1515800</v>
      </c>
      <c r="H68">
        <v>44628</v>
      </c>
      <c r="I68" t="s">
        <v>59</v>
      </c>
      <c r="J68" t="s">
        <v>234</v>
      </c>
      <c r="K68" t="s">
        <v>239</v>
      </c>
      <c r="L68" t="s">
        <v>251</v>
      </c>
    </row>
    <row r="69" spans="1:12">
      <c r="A69">
        <v>1265</v>
      </c>
      <c r="B69" t="s">
        <v>198</v>
      </c>
      <c r="C69" t="str">
        <f>_xlfn.XLOOKUP(B69,product!$A$2:$A$20,product!$B$2:$B$20)</f>
        <v>HDMI Cable</v>
      </c>
      <c r="D69" t="str">
        <f>_xlfn.XLOOKUP(C69,product!$B$2:$B$20,product!$C$2:$C$20)</f>
        <v>Cables &amp; Connectors</v>
      </c>
      <c r="E69">
        <v>106</v>
      </c>
      <c r="F69">
        <v>250</v>
      </c>
      <c r="G69">
        <v>26500</v>
      </c>
      <c r="H69">
        <v>44629</v>
      </c>
      <c r="I69" t="s">
        <v>254</v>
      </c>
      <c r="J69" t="s">
        <v>241</v>
      </c>
      <c r="K69" t="s">
        <v>235</v>
      </c>
      <c r="L69" t="s">
        <v>252</v>
      </c>
    </row>
    <row r="70" spans="1:12">
      <c r="A70">
        <v>1551</v>
      </c>
      <c r="B70" t="s">
        <v>208</v>
      </c>
      <c r="C70" t="str">
        <f>_xlfn.XLOOKUP(B70,product!$A$2:$A$20,product!$B$2:$B$20)</f>
        <v>Headset</v>
      </c>
      <c r="D70" t="str">
        <f>_xlfn.XLOOKUP(C70,product!$B$2:$B$20,product!$C$2:$C$20)</f>
        <v>Audio</v>
      </c>
      <c r="E70">
        <v>279</v>
      </c>
      <c r="F70">
        <v>1500</v>
      </c>
      <c r="G70">
        <v>418500</v>
      </c>
      <c r="H70">
        <v>44630</v>
      </c>
      <c r="I70" t="s">
        <v>256</v>
      </c>
      <c r="J70" t="s">
        <v>234</v>
      </c>
      <c r="K70" t="s">
        <v>248</v>
      </c>
      <c r="L70" t="s">
        <v>253</v>
      </c>
    </row>
    <row r="71" spans="1:12">
      <c r="A71">
        <v>1458</v>
      </c>
      <c r="B71" t="s">
        <v>187</v>
      </c>
      <c r="C71" t="str">
        <f>_xlfn.XLOOKUP(B71,product!$A$2:$A$20,product!$B$2:$B$20)</f>
        <v>USB Flash Drive</v>
      </c>
      <c r="D71" t="str">
        <f>_xlfn.XLOOKUP(C71,product!$B$2:$B$20,product!$C$2:$C$20)</f>
        <v>Storage</v>
      </c>
      <c r="E71">
        <v>151</v>
      </c>
      <c r="F71">
        <v>600</v>
      </c>
      <c r="G71">
        <v>90600</v>
      </c>
      <c r="H71">
        <v>44631</v>
      </c>
      <c r="I71" t="s">
        <v>258</v>
      </c>
      <c r="J71" t="s">
        <v>241</v>
      </c>
      <c r="K71" t="s">
        <v>248</v>
      </c>
      <c r="L71" t="s">
        <v>255</v>
      </c>
    </row>
    <row r="72" spans="1:12">
      <c r="A72">
        <v>1054</v>
      </c>
      <c r="B72" t="s">
        <v>206</v>
      </c>
      <c r="C72" t="str">
        <f>_xlfn.XLOOKUP(B72,product!$A$2:$A$20,product!$B$2:$B$20)</f>
        <v>Cooling Pad</v>
      </c>
      <c r="D72" t="str">
        <f>_xlfn.XLOOKUP(C72,product!$B$2:$B$20,product!$C$2:$C$20)</f>
        <v>Laptop Accessories</v>
      </c>
      <c r="E72">
        <v>208</v>
      </c>
      <c r="F72">
        <v>650</v>
      </c>
      <c r="G72">
        <v>135200</v>
      </c>
      <c r="H72">
        <v>44632</v>
      </c>
      <c r="I72" t="s">
        <v>260</v>
      </c>
      <c r="J72" t="s">
        <v>234</v>
      </c>
      <c r="K72" t="s">
        <v>248</v>
      </c>
      <c r="L72" t="s">
        <v>257</v>
      </c>
    </row>
    <row r="73" spans="1:12">
      <c r="A73">
        <v>1510</v>
      </c>
      <c r="B73" t="s">
        <v>181</v>
      </c>
      <c r="C73" t="str">
        <f>_xlfn.XLOOKUP(B73,product!$A$2:$A$20,product!$B$2:$B$20)</f>
        <v>Keyboard</v>
      </c>
      <c r="D73" t="str">
        <f>_xlfn.XLOOKUP(C73,product!$B$2:$B$20,product!$C$2:$C$20)</f>
        <v>Input Device</v>
      </c>
      <c r="E73">
        <v>293</v>
      </c>
      <c r="F73">
        <v>800</v>
      </c>
      <c r="G73">
        <v>234400</v>
      </c>
      <c r="H73">
        <v>44633</v>
      </c>
      <c r="I73" t="s">
        <v>233</v>
      </c>
      <c r="J73" t="s">
        <v>234</v>
      </c>
      <c r="K73" t="s">
        <v>235</v>
      </c>
      <c r="L73" t="s">
        <v>259</v>
      </c>
    </row>
    <row r="74" spans="1:12">
      <c r="A74">
        <v>1572</v>
      </c>
      <c r="B74" t="s">
        <v>215</v>
      </c>
      <c r="C74" t="str">
        <f>_xlfn.XLOOKUP(B74,product!$A$2:$A$20,product!$B$2:$B$20)</f>
        <v>Speakers</v>
      </c>
      <c r="D74" t="str">
        <f>_xlfn.XLOOKUP(C74,product!$B$2:$B$20,product!$C$2:$C$20)</f>
        <v>Audio</v>
      </c>
      <c r="E74">
        <v>222</v>
      </c>
      <c r="F74">
        <v>5300</v>
      </c>
      <c r="G74">
        <v>1176600</v>
      </c>
      <c r="H74">
        <v>44634</v>
      </c>
      <c r="I74" t="s">
        <v>237</v>
      </c>
      <c r="J74" t="s">
        <v>241</v>
      </c>
      <c r="K74" t="s">
        <v>248</v>
      </c>
      <c r="L74" t="s">
        <v>261</v>
      </c>
    </row>
    <row r="75" spans="1:12">
      <c r="A75">
        <v>1594</v>
      </c>
      <c r="B75" t="s">
        <v>208</v>
      </c>
      <c r="C75" t="str">
        <f>_xlfn.XLOOKUP(B75,product!$A$2:$A$20,product!$B$2:$B$20)</f>
        <v>Headset</v>
      </c>
      <c r="D75" t="str">
        <f>_xlfn.XLOOKUP(C75,product!$B$2:$B$20,product!$C$2:$C$20)</f>
        <v>Audio</v>
      </c>
      <c r="E75">
        <v>159</v>
      </c>
      <c r="F75">
        <v>1500</v>
      </c>
      <c r="G75">
        <v>238500</v>
      </c>
      <c r="H75">
        <v>44635</v>
      </c>
      <c r="I75" t="s">
        <v>90</v>
      </c>
      <c r="J75" t="s">
        <v>238</v>
      </c>
      <c r="K75" t="s">
        <v>248</v>
      </c>
      <c r="L75" t="s">
        <v>262</v>
      </c>
    </row>
    <row r="76" spans="1:12">
      <c r="A76">
        <v>1527</v>
      </c>
      <c r="B76" t="s">
        <v>189</v>
      </c>
      <c r="C76" t="str">
        <f>_xlfn.XLOOKUP(B76,product!$A$2:$A$20,product!$B$2:$B$20)</f>
        <v>Monitor</v>
      </c>
      <c r="D76" t="str">
        <f>_xlfn.XLOOKUP(C76,product!$B$2:$B$20,product!$C$2:$C$20)</f>
        <v>Display</v>
      </c>
      <c r="E76">
        <v>141</v>
      </c>
      <c r="F76">
        <v>15000</v>
      </c>
      <c r="G76">
        <v>2115000</v>
      </c>
      <c r="H76">
        <v>44636</v>
      </c>
      <c r="I76" t="s">
        <v>243</v>
      </c>
      <c r="J76" t="s">
        <v>238</v>
      </c>
      <c r="K76" t="s">
        <v>235</v>
      </c>
      <c r="L76" t="s">
        <v>263</v>
      </c>
    </row>
    <row r="77" spans="1:12">
      <c r="A77">
        <v>1014</v>
      </c>
      <c r="B77" t="s">
        <v>183</v>
      </c>
      <c r="C77" t="str">
        <f>_xlfn.XLOOKUP(B77,product!$A$2:$A$20,product!$B$2:$B$20)</f>
        <v>Mouse</v>
      </c>
      <c r="D77" t="str">
        <f>_xlfn.XLOOKUP(C77,product!$B$2:$B$20,product!$C$2:$C$20)</f>
        <v>Input Device</v>
      </c>
      <c r="E77">
        <v>109</v>
      </c>
      <c r="F77">
        <v>500</v>
      </c>
      <c r="G77">
        <v>54500</v>
      </c>
      <c r="H77">
        <v>44637</v>
      </c>
      <c r="I77" t="s">
        <v>245</v>
      </c>
      <c r="J77" t="s">
        <v>238</v>
      </c>
      <c r="K77" t="s">
        <v>239</v>
      </c>
      <c r="L77" t="s">
        <v>236</v>
      </c>
    </row>
    <row r="78" spans="1:12">
      <c r="A78">
        <v>1562</v>
      </c>
      <c r="B78" t="s">
        <v>213</v>
      </c>
      <c r="C78" t="str">
        <f>_xlfn.XLOOKUP(B78,product!$A$2:$A$20,product!$B$2:$B$20)</f>
        <v>Scanner</v>
      </c>
      <c r="D78" t="str">
        <f>_xlfn.XLOOKUP(C78,product!$B$2:$B$20,product!$C$2:$C$20)</f>
        <v>Peripherals</v>
      </c>
      <c r="E78">
        <v>126</v>
      </c>
      <c r="F78">
        <v>7600</v>
      </c>
      <c r="G78">
        <v>957600</v>
      </c>
      <c r="H78">
        <v>44638</v>
      </c>
      <c r="I78" t="s">
        <v>247</v>
      </c>
      <c r="J78" t="s">
        <v>238</v>
      </c>
      <c r="K78" t="s">
        <v>248</v>
      </c>
      <c r="L78" t="s">
        <v>240</v>
      </c>
    </row>
    <row r="79" spans="1:12">
      <c r="A79">
        <v>1310</v>
      </c>
      <c r="B79" t="s">
        <v>198</v>
      </c>
      <c r="C79" t="str">
        <f>_xlfn.XLOOKUP(B79,product!$A$2:$A$20,product!$B$2:$B$20)</f>
        <v>HDMI Cable</v>
      </c>
      <c r="D79" t="str">
        <f>_xlfn.XLOOKUP(C79,product!$B$2:$B$20,product!$C$2:$C$20)</f>
        <v>Cables &amp; Connectors</v>
      </c>
      <c r="E79">
        <v>170</v>
      </c>
      <c r="F79">
        <v>250</v>
      </c>
      <c r="G79">
        <v>42500</v>
      </c>
      <c r="H79">
        <v>44639</v>
      </c>
      <c r="I79" t="s">
        <v>250</v>
      </c>
      <c r="J79" t="s">
        <v>238</v>
      </c>
      <c r="K79" t="s">
        <v>235</v>
      </c>
      <c r="L79" t="s">
        <v>242</v>
      </c>
    </row>
    <row r="80" spans="1:12">
      <c r="A80">
        <v>1256</v>
      </c>
      <c r="B80" t="s">
        <v>201</v>
      </c>
      <c r="C80" t="str">
        <f>_xlfn.XLOOKUP(B80,product!$A$2:$A$20,product!$B$2:$B$20)</f>
        <v>Webcam</v>
      </c>
      <c r="D80" t="str">
        <f>_xlfn.XLOOKUP(C80,product!$B$2:$B$20,product!$C$2:$C$20)</f>
        <v>Peripherals</v>
      </c>
      <c r="E80">
        <v>197</v>
      </c>
      <c r="F80">
        <v>3500</v>
      </c>
      <c r="G80">
        <v>689500</v>
      </c>
      <c r="H80">
        <v>44640</v>
      </c>
      <c r="I80" t="s">
        <v>64</v>
      </c>
      <c r="J80" t="s">
        <v>241</v>
      </c>
      <c r="K80" t="s">
        <v>235</v>
      </c>
      <c r="L80" t="s">
        <v>244</v>
      </c>
    </row>
    <row r="81" spans="1:12">
      <c r="A81">
        <v>1035</v>
      </c>
      <c r="B81" t="s">
        <v>222</v>
      </c>
      <c r="C81" t="str">
        <f>_xlfn.XLOOKUP(B81,product!$A$2:$A$20,product!$B$2:$B$20)</f>
        <v>Laptop Bag</v>
      </c>
      <c r="D81" t="str">
        <f>_xlfn.XLOOKUP(C81,product!$B$2:$B$20,product!$C$2:$C$20)</f>
        <v>Laptop Accessories</v>
      </c>
      <c r="E81">
        <v>190</v>
      </c>
      <c r="F81">
        <v>300</v>
      </c>
      <c r="G81">
        <v>57000</v>
      </c>
      <c r="H81">
        <v>44641</v>
      </c>
      <c r="I81" t="s">
        <v>254</v>
      </c>
      <c r="J81" t="s">
        <v>238</v>
      </c>
      <c r="K81" t="s">
        <v>239</v>
      </c>
      <c r="L81" t="s">
        <v>246</v>
      </c>
    </row>
    <row r="82" spans="1:12">
      <c r="A82">
        <v>1188</v>
      </c>
      <c r="B82" t="s">
        <v>206</v>
      </c>
      <c r="C82" t="str">
        <f>_xlfn.XLOOKUP(B82,product!$A$2:$A$20,product!$B$2:$B$20)</f>
        <v>Cooling Pad</v>
      </c>
      <c r="D82" t="str">
        <f>_xlfn.XLOOKUP(C82,product!$B$2:$B$20,product!$C$2:$C$20)</f>
        <v>Laptop Accessories</v>
      </c>
      <c r="E82">
        <v>194</v>
      </c>
      <c r="F82">
        <v>650</v>
      </c>
      <c r="G82">
        <v>126100</v>
      </c>
      <c r="H82">
        <v>44642</v>
      </c>
      <c r="I82" t="s">
        <v>256</v>
      </c>
      <c r="J82" t="s">
        <v>241</v>
      </c>
      <c r="K82" t="s">
        <v>235</v>
      </c>
      <c r="L82" t="s">
        <v>249</v>
      </c>
    </row>
    <row r="83" spans="1:12">
      <c r="A83">
        <v>1312</v>
      </c>
      <c r="B83" t="s">
        <v>196</v>
      </c>
      <c r="C83" t="str">
        <f>_xlfn.XLOOKUP(B83,product!$A$2:$A$20,product!$B$2:$B$20)</f>
        <v>SSD</v>
      </c>
      <c r="D83" t="str">
        <f>_xlfn.XLOOKUP(C83,product!$B$2:$B$20,product!$C$2:$C$20)</f>
        <v>Internal Hardware</v>
      </c>
      <c r="E83">
        <v>288</v>
      </c>
      <c r="F83">
        <v>9500</v>
      </c>
      <c r="G83">
        <v>2736000</v>
      </c>
      <c r="H83">
        <v>44643</v>
      </c>
      <c r="I83" t="s">
        <v>258</v>
      </c>
      <c r="J83" t="s">
        <v>241</v>
      </c>
      <c r="K83" t="s">
        <v>248</v>
      </c>
      <c r="L83" t="s">
        <v>251</v>
      </c>
    </row>
    <row r="84" spans="1:12">
      <c r="A84">
        <v>1622</v>
      </c>
      <c r="B84" t="s">
        <v>198</v>
      </c>
      <c r="C84" t="str">
        <f>_xlfn.XLOOKUP(B84,product!$A$2:$A$20,product!$B$2:$B$20)</f>
        <v>HDMI Cable</v>
      </c>
      <c r="D84" t="str">
        <f>_xlfn.XLOOKUP(C84,product!$B$2:$B$20,product!$C$2:$C$20)</f>
        <v>Cables &amp; Connectors</v>
      </c>
      <c r="E84">
        <v>272</v>
      </c>
      <c r="F84">
        <v>250</v>
      </c>
      <c r="G84">
        <v>68000</v>
      </c>
      <c r="H84">
        <v>44644</v>
      </c>
      <c r="I84" t="s">
        <v>260</v>
      </c>
      <c r="J84" t="s">
        <v>234</v>
      </c>
      <c r="K84" t="s">
        <v>248</v>
      </c>
      <c r="L84" t="s">
        <v>252</v>
      </c>
    </row>
    <row r="85" spans="1:12">
      <c r="A85">
        <v>1027</v>
      </c>
      <c r="B85" t="s">
        <v>201</v>
      </c>
      <c r="C85" t="str">
        <f>_xlfn.XLOOKUP(B85,product!$A$2:$A$20,product!$B$2:$B$20)</f>
        <v>Webcam</v>
      </c>
      <c r="D85" t="str">
        <f>_xlfn.XLOOKUP(C85,product!$B$2:$B$20,product!$C$2:$C$20)</f>
        <v>Peripherals</v>
      </c>
      <c r="E85">
        <v>206</v>
      </c>
      <c r="F85">
        <v>3500</v>
      </c>
      <c r="G85">
        <v>721000</v>
      </c>
      <c r="H85">
        <v>44645</v>
      </c>
      <c r="I85" t="s">
        <v>233</v>
      </c>
      <c r="J85" t="s">
        <v>238</v>
      </c>
      <c r="K85" t="s">
        <v>248</v>
      </c>
      <c r="L85" t="s">
        <v>253</v>
      </c>
    </row>
    <row r="86" spans="1:12">
      <c r="A86">
        <v>1711</v>
      </c>
      <c r="B86" t="s">
        <v>181</v>
      </c>
      <c r="C86" t="str">
        <f>_xlfn.XLOOKUP(B86,product!$A$2:$A$20,product!$B$2:$B$20)</f>
        <v>Keyboard</v>
      </c>
      <c r="D86" t="str">
        <f>_xlfn.XLOOKUP(C86,product!$B$2:$B$20,product!$C$2:$C$20)</f>
        <v>Input Device</v>
      </c>
      <c r="E86">
        <v>184</v>
      </c>
      <c r="F86">
        <v>800</v>
      </c>
      <c r="G86">
        <v>147200</v>
      </c>
      <c r="H86">
        <v>44646</v>
      </c>
      <c r="I86" t="s">
        <v>237</v>
      </c>
      <c r="J86" t="s">
        <v>241</v>
      </c>
      <c r="K86" t="s">
        <v>239</v>
      </c>
      <c r="L86" t="s">
        <v>255</v>
      </c>
    </row>
    <row r="87" spans="1:12">
      <c r="A87">
        <v>1633</v>
      </c>
      <c r="B87" t="s">
        <v>211</v>
      </c>
      <c r="C87" t="str">
        <f>_xlfn.XLOOKUP(B87,product!$A$2:$A$20,product!$B$2:$B$20)</f>
        <v>Printer</v>
      </c>
      <c r="D87" t="str">
        <f>_xlfn.XLOOKUP(C87,product!$B$2:$B$20,product!$C$2:$C$20)</f>
        <v>Peripherals</v>
      </c>
      <c r="E87">
        <v>193</v>
      </c>
      <c r="F87">
        <v>11500</v>
      </c>
      <c r="G87">
        <v>2219500</v>
      </c>
      <c r="H87">
        <v>44647</v>
      </c>
      <c r="I87" t="s">
        <v>90</v>
      </c>
      <c r="J87" t="s">
        <v>238</v>
      </c>
      <c r="K87" t="s">
        <v>248</v>
      </c>
      <c r="L87" t="s">
        <v>257</v>
      </c>
    </row>
    <row r="88" spans="1:12">
      <c r="A88">
        <v>1353</v>
      </c>
      <c r="B88" t="s">
        <v>198</v>
      </c>
      <c r="C88" t="str">
        <f>_xlfn.XLOOKUP(B88,product!$A$2:$A$20,product!$B$2:$B$20)</f>
        <v>HDMI Cable</v>
      </c>
      <c r="D88" t="str">
        <f>_xlfn.XLOOKUP(C88,product!$B$2:$B$20,product!$C$2:$C$20)</f>
        <v>Cables &amp; Connectors</v>
      </c>
      <c r="E88">
        <v>138</v>
      </c>
      <c r="F88">
        <v>250</v>
      </c>
      <c r="G88">
        <v>34500</v>
      </c>
      <c r="H88">
        <v>44648</v>
      </c>
      <c r="I88" t="s">
        <v>243</v>
      </c>
      <c r="J88" t="s">
        <v>241</v>
      </c>
      <c r="K88" t="s">
        <v>239</v>
      </c>
      <c r="L88" t="s">
        <v>259</v>
      </c>
    </row>
    <row r="89" spans="1:12">
      <c r="A89">
        <v>1807</v>
      </c>
      <c r="B89" t="s">
        <v>206</v>
      </c>
      <c r="C89" t="str">
        <f>_xlfn.XLOOKUP(B89,product!$A$2:$A$20,product!$B$2:$B$20)</f>
        <v>Cooling Pad</v>
      </c>
      <c r="D89" t="str">
        <f>_xlfn.XLOOKUP(C89,product!$B$2:$B$20,product!$C$2:$C$20)</f>
        <v>Laptop Accessories</v>
      </c>
      <c r="E89">
        <v>272</v>
      </c>
      <c r="F89">
        <v>650</v>
      </c>
      <c r="G89">
        <v>176800</v>
      </c>
      <c r="H89">
        <v>44649</v>
      </c>
      <c r="I89" t="s">
        <v>245</v>
      </c>
      <c r="J89" t="s">
        <v>234</v>
      </c>
      <c r="K89" t="s">
        <v>235</v>
      </c>
      <c r="L89" t="s">
        <v>261</v>
      </c>
    </row>
    <row r="90" spans="1:12">
      <c r="A90">
        <v>1758</v>
      </c>
      <c r="B90" t="s">
        <v>213</v>
      </c>
      <c r="C90" t="str">
        <f>_xlfn.XLOOKUP(B90,product!$A$2:$A$20,product!$B$2:$B$20)</f>
        <v>Scanner</v>
      </c>
      <c r="D90" t="str">
        <f>_xlfn.XLOOKUP(C90,product!$B$2:$B$20,product!$C$2:$C$20)</f>
        <v>Peripherals</v>
      </c>
      <c r="E90">
        <v>140</v>
      </c>
      <c r="F90">
        <v>7600</v>
      </c>
      <c r="G90">
        <v>1064000</v>
      </c>
      <c r="H90">
        <v>44650</v>
      </c>
      <c r="I90" t="s">
        <v>247</v>
      </c>
      <c r="J90" t="s">
        <v>234</v>
      </c>
      <c r="K90" t="s">
        <v>235</v>
      </c>
      <c r="L90" t="s">
        <v>262</v>
      </c>
    </row>
    <row r="91" spans="1:12">
      <c r="A91">
        <v>1343</v>
      </c>
      <c r="B91" t="s">
        <v>181</v>
      </c>
      <c r="C91" t="str">
        <f>_xlfn.XLOOKUP(B91,product!$A$2:$A$20,product!$B$2:$B$20)</f>
        <v>Keyboard</v>
      </c>
      <c r="D91" t="str">
        <f>_xlfn.XLOOKUP(C91,product!$B$2:$B$20,product!$C$2:$C$20)</f>
        <v>Input Device</v>
      </c>
      <c r="E91">
        <v>176</v>
      </c>
      <c r="F91">
        <v>800</v>
      </c>
      <c r="G91">
        <v>140800</v>
      </c>
      <c r="H91">
        <v>44651</v>
      </c>
      <c r="I91" t="s">
        <v>250</v>
      </c>
      <c r="J91" t="s">
        <v>241</v>
      </c>
      <c r="K91" t="s">
        <v>235</v>
      </c>
      <c r="L91" t="s">
        <v>263</v>
      </c>
    </row>
    <row r="92" spans="1:12">
      <c r="A92">
        <v>1245</v>
      </c>
      <c r="B92" t="s">
        <v>206</v>
      </c>
      <c r="C92" t="str">
        <f>_xlfn.XLOOKUP(B92,product!$A$2:$A$20,product!$B$2:$B$20)</f>
        <v>Cooling Pad</v>
      </c>
      <c r="D92" t="str">
        <f>_xlfn.XLOOKUP(C92,product!$B$2:$B$20,product!$C$2:$C$20)</f>
        <v>Laptop Accessories</v>
      </c>
      <c r="E92">
        <v>188</v>
      </c>
      <c r="F92">
        <v>650</v>
      </c>
      <c r="G92">
        <v>122200</v>
      </c>
      <c r="H92">
        <v>44652</v>
      </c>
      <c r="I92" t="s">
        <v>64</v>
      </c>
      <c r="J92" t="s">
        <v>241</v>
      </c>
      <c r="K92" t="s">
        <v>248</v>
      </c>
      <c r="L92" t="s">
        <v>236</v>
      </c>
    </row>
    <row r="93" spans="1:12">
      <c r="A93">
        <v>1188</v>
      </c>
      <c r="B93" t="s">
        <v>211</v>
      </c>
      <c r="C93" t="str">
        <f>_xlfn.XLOOKUP(B93,product!$A$2:$A$20,product!$B$2:$B$20)</f>
        <v>Printer</v>
      </c>
      <c r="D93" t="str">
        <f>_xlfn.XLOOKUP(C93,product!$B$2:$B$20,product!$C$2:$C$20)</f>
        <v>Peripherals</v>
      </c>
      <c r="E93">
        <v>182</v>
      </c>
      <c r="F93">
        <v>11500</v>
      </c>
      <c r="G93">
        <v>2093000</v>
      </c>
      <c r="H93">
        <v>44653</v>
      </c>
      <c r="I93" t="s">
        <v>245</v>
      </c>
      <c r="J93" t="s">
        <v>234</v>
      </c>
      <c r="K93" t="s">
        <v>248</v>
      </c>
      <c r="L93" t="s">
        <v>240</v>
      </c>
    </row>
    <row r="94" spans="1:12">
      <c r="A94">
        <v>1118</v>
      </c>
      <c r="B94" t="s">
        <v>194</v>
      </c>
      <c r="C94" t="str">
        <f>_xlfn.XLOOKUP(B94,product!$A$2:$A$20,product!$B$2:$B$20)</f>
        <v>RAM Module</v>
      </c>
      <c r="D94" t="str">
        <f>_xlfn.XLOOKUP(C94,product!$B$2:$B$20,product!$C$2:$C$20)</f>
        <v>Internal Hardware</v>
      </c>
      <c r="E94">
        <v>209</v>
      </c>
      <c r="F94">
        <v>7500</v>
      </c>
      <c r="G94">
        <v>1567500</v>
      </c>
      <c r="H94">
        <v>44654</v>
      </c>
      <c r="I94" t="s">
        <v>247</v>
      </c>
      <c r="J94" t="s">
        <v>234</v>
      </c>
      <c r="K94" t="s">
        <v>239</v>
      </c>
      <c r="L94" t="s">
        <v>242</v>
      </c>
    </row>
    <row r="95" spans="1:12">
      <c r="A95">
        <v>1425</v>
      </c>
      <c r="B95" t="s">
        <v>194</v>
      </c>
      <c r="C95" t="str">
        <f>_xlfn.XLOOKUP(B95,product!$A$2:$A$20,product!$B$2:$B$20)</f>
        <v>RAM Module</v>
      </c>
      <c r="D95" t="str">
        <f>_xlfn.XLOOKUP(C95,product!$B$2:$B$20,product!$C$2:$C$20)</f>
        <v>Internal Hardware</v>
      </c>
      <c r="E95">
        <v>231</v>
      </c>
      <c r="F95">
        <v>7500</v>
      </c>
      <c r="G95">
        <v>1732500</v>
      </c>
      <c r="H95">
        <v>44655</v>
      </c>
      <c r="I95" t="s">
        <v>250</v>
      </c>
      <c r="J95" t="s">
        <v>238</v>
      </c>
      <c r="K95" t="s">
        <v>235</v>
      </c>
      <c r="L95" t="s">
        <v>244</v>
      </c>
    </row>
    <row r="96" spans="1:12">
      <c r="A96">
        <v>1510</v>
      </c>
      <c r="B96" t="s">
        <v>203</v>
      </c>
      <c r="C96" t="str">
        <f>_xlfn.XLOOKUP(B96,product!$A$2:$A$20,product!$B$2:$B$20)</f>
        <v>Laptop Stand</v>
      </c>
      <c r="D96" t="str">
        <f>_xlfn.XLOOKUP(C96,product!$B$2:$B$20,product!$C$2:$C$20)</f>
        <v>Laptop Accessories</v>
      </c>
      <c r="E96">
        <v>263</v>
      </c>
      <c r="F96">
        <v>500</v>
      </c>
      <c r="G96">
        <v>131500</v>
      </c>
      <c r="H96">
        <v>44656</v>
      </c>
      <c r="I96" t="s">
        <v>64</v>
      </c>
      <c r="J96" t="s">
        <v>238</v>
      </c>
      <c r="K96" t="s">
        <v>235</v>
      </c>
      <c r="L96" t="s">
        <v>246</v>
      </c>
    </row>
    <row r="97" spans="1:12">
      <c r="A97">
        <v>1099</v>
      </c>
      <c r="B97" t="s">
        <v>183</v>
      </c>
      <c r="C97" t="str">
        <f>_xlfn.XLOOKUP(B97,product!$A$2:$A$20,product!$B$2:$B$20)</f>
        <v>Mouse</v>
      </c>
      <c r="D97" t="str">
        <f>_xlfn.XLOOKUP(C97,product!$B$2:$B$20,product!$C$2:$C$20)</f>
        <v>Input Device</v>
      </c>
      <c r="E97">
        <v>167</v>
      </c>
      <c r="F97">
        <v>500</v>
      </c>
      <c r="G97">
        <v>83500</v>
      </c>
      <c r="H97">
        <v>44657</v>
      </c>
      <c r="I97" t="s">
        <v>59</v>
      </c>
      <c r="J97" t="s">
        <v>238</v>
      </c>
      <c r="K97" t="s">
        <v>248</v>
      </c>
      <c r="L97" t="s">
        <v>249</v>
      </c>
    </row>
    <row r="98" spans="1:12">
      <c r="A98">
        <v>1016</v>
      </c>
      <c r="B98" t="s">
        <v>208</v>
      </c>
      <c r="C98" t="str">
        <f>_xlfn.XLOOKUP(B98,product!$A$2:$A$20,product!$B$2:$B$20)</f>
        <v>Headset</v>
      </c>
      <c r="D98" t="str">
        <f>_xlfn.XLOOKUP(C98,product!$B$2:$B$20,product!$C$2:$C$20)</f>
        <v>Audio</v>
      </c>
      <c r="E98">
        <v>106</v>
      </c>
      <c r="F98">
        <v>1500</v>
      </c>
      <c r="G98">
        <v>159000</v>
      </c>
      <c r="H98">
        <v>44658</v>
      </c>
      <c r="I98" t="s">
        <v>254</v>
      </c>
      <c r="J98" t="s">
        <v>238</v>
      </c>
      <c r="K98" t="s">
        <v>235</v>
      </c>
      <c r="L98" t="s">
        <v>251</v>
      </c>
    </row>
    <row r="99" spans="1:12">
      <c r="A99">
        <v>1141</v>
      </c>
      <c r="B99" t="s">
        <v>208</v>
      </c>
      <c r="C99" t="str">
        <f>_xlfn.XLOOKUP(B99,product!$A$2:$A$20,product!$B$2:$B$20)</f>
        <v>Headset</v>
      </c>
      <c r="D99" t="str">
        <f>_xlfn.XLOOKUP(C99,product!$B$2:$B$20,product!$C$2:$C$20)</f>
        <v>Audio</v>
      </c>
      <c r="E99">
        <v>300</v>
      </c>
      <c r="F99">
        <v>1500</v>
      </c>
      <c r="G99">
        <v>450000</v>
      </c>
      <c r="H99">
        <v>44659</v>
      </c>
      <c r="I99" t="s">
        <v>256</v>
      </c>
      <c r="J99" t="s">
        <v>234</v>
      </c>
      <c r="K99" t="s">
        <v>235</v>
      </c>
      <c r="L99" t="s">
        <v>252</v>
      </c>
    </row>
    <row r="100" spans="1:12">
      <c r="A100">
        <v>1287</v>
      </c>
      <c r="B100" t="s">
        <v>208</v>
      </c>
      <c r="C100" t="str">
        <f>_xlfn.XLOOKUP(B100,product!$A$2:$A$20,product!$B$2:$B$20)</f>
        <v>Headset</v>
      </c>
      <c r="D100" t="str">
        <f>_xlfn.XLOOKUP(C100,product!$B$2:$B$20,product!$C$2:$C$20)</f>
        <v>Audio</v>
      </c>
      <c r="E100">
        <v>152</v>
      </c>
      <c r="F100">
        <v>1500</v>
      </c>
      <c r="G100">
        <v>228000</v>
      </c>
      <c r="H100">
        <v>44660</v>
      </c>
      <c r="I100" t="s">
        <v>258</v>
      </c>
      <c r="J100" t="s">
        <v>241</v>
      </c>
      <c r="K100" t="s">
        <v>248</v>
      </c>
      <c r="L100" t="s">
        <v>253</v>
      </c>
    </row>
    <row r="101" spans="1:12">
      <c r="A101">
        <v>473</v>
      </c>
      <c r="B101" t="s">
        <v>183</v>
      </c>
      <c r="C101" t="str">
        <f>_xlfn.XLOOKUP(B101,product!$A$2:$A$20,product!$B$2:$B$20)</f>
        <v>Mouse</v>
      </c>
      <c r="D101" t="str">
        <f>_xlfn.XLOOKUP(C101,product!$B$2:$B$20,product!$C$2:$C$20)</f>
        <v>Input Device</v>
      </c>
      <c r="E101">
        <v>103</v>
      </c>
      <c r="F101">
        <v>2883</v>
      </c>
      <c r="G101">
        <v>296949</v>
      </c>
      <c r="H101">
        <v>44661</v>
      </c>
      <c r="I101" t="s">
        <v>260</v>
      </c>
      <c r="J101" t="s">
        <v>241</v>
      </c>
      <c r="K101" t="s">
        <v>235</v>
      </c>
      <c r="L101" t="s">
        <v>255</v>
      </c>
    </row>
    <row r="102" spans="1:12">
      <c r="A102">
        <v>274</v>
      </c>
      <c r="B102" t="s">
        <v>203</v>
      </c>
      <c r="C102" t="str">
        <f>_xlfn.XLOOKUP(B102,product!$A$2:$A$20,product!$B$2:$B$20)</f>
        <v>Laptop Stand</v>
      </c>
      <c r="D102" t="str">
        <f>_xlfn.XLOOKUP(C102,product!$B$2:$B$20,product!$C$2:$C$20)</f>
        <v>Laptop Accessories</v>
      </c>
      <c r="E102">
        <v>267</v>
      </c>
      <c r="F102">
        <v>3576</v>
      </c>
      <c r="G102">
        <v>954792</v>
      </c>
      <c r="H102">
        <v>44662</v>
      </c>
      <c r="I102" t="s">
        <v>233</v>
      </c>
      <c r="J102" t="s">
        <v>234</v>
      </c>
      <c r="K102" t="s">
        <v>235</v>
      </c>
      <c r="L102" t="s">
        <v>257</v>
      </c>
    </row>
    <row r="103" spans="1:12">
      <c r="A103">
        <v>283</v>
      </c>
      <c r="B103" t="s">
        <v>196</v>
      </c>
      <c r="C103" t="str">
        <f>_xlfn.XLOOKUP(B103,product!$A$2:$A$20,product!$B$2:$B$20)</f>
        <v>SSD</v>
      </c>
      <c r="D103" t="str">
        <f>_xlfn.XLOOKUP(C103,product!$B$2:$B$20,product!$C$2:$C$20)</f>
        <v>Internal Hardware</v>
      </c>
      <c r="E103">
        <v>166</v>
      </c>
      <c r="F103">
        <v>3552</v>
      </c>
      <c r="G103">
        <v>589632</v>
      </c>
      <c r="H103">
        <v>44663</v>
      </c>
      <c r="I103" t="s">
        <v>237</v>
      </c>
      <c r="J103" t="s">
        <v>238</v>
      </c>
      <c r="K103" t="s">
        <v>239</v>
      </c>
      <c r="L103" t="s">
        <v>259</v>
      </c>
    </row>
    <row r="104" spans="1:12">
      <c r="A104">
        <v>491</v>
      </c>
      <c r="B104" t="s">
        <v>217</v>
      </c>
      <c r="C104" t="str">
        <f>_xlfn.XLOOKUP(B104,product!$A$2:$A$20,product!$B$2:$B$20)</f>
        <v>Wireless Router</v>
      </c>
      <c r="D104" t="str">
        <f>_xlfn.XLOOKUP(C104,product!$B$2:$B$20,product!$C$2:$C$20)</f>
        <v>Network</v>
      </c>
      <c r="E104">
        <v>260</v>
      </c>
      <c r="F104">
        <v>2228</v>
      </c>
      <c r="G104">
        <v>579280</v>
      </c>
      <c r="H104">
        <v>44664</v>
      </c>
      <c r="I104" t="s">
        <v>90</v>
      </c>
      <c r="J104" t="s">
        <v>241</v>
      </c>
      <c r="K104" t="s">
        <v>235</v>
      </c>
      <c r="L104" t="s">
        <v>261</v>
      </c>
    </row>
    <row r="105" spans="1:12">
      <c r="A105">
        <v>471</v>
      </c>
      <c r="B105" t="s">
        <v>189</v>
      </c>
      <c r="C105" t="str">
        <f>_xlfn.XLOOKUP(B105,product!$A$2:$A$20,product!$B$2:$B$20)</f>
        <v>Monitor</v>
      </c>
      <c r="D105" t="str">
        <f>_xlfn.XLOOKUP(C105,product!$B$2:$B$20,product!$C$2:$C$20)</f>
        <v>Display</v>
      </c>
      <c r="E105">
        <v>162</v>
      </c>
      <c r="F105">
        <v>4524</v>
      </c>
      <c r="G105">
        <v>732888</v>
      </c>
      <c r="H105">
        <v>44665</v>
      </c>
      <c r="I105" t="s">
        <v>243</v>
      </c>
      <c r="J105" t="s">
        <v>234</v>
      </c>
      <c r="K105" t="s">
        <v>239</v>
      </c>
      <c r="L105" t="s">
        <v>262</v>
      </c>
    </row>
    <row r="106" spans="1:12">
      <c r="A106">
        <v>435</v>
      </c>
      <c r="B106" t="s">
        <v>203</v>
      </c>
      <c r="C106" t="str">
        <f>_xlfn.XLOOKUP(B106,product!$A$2:$A$20,product!$B$2:$B$20)</f>
        <v>Laptop Stand</v>
      </c>
      <c r="D106" t="str">
        <f>_xlfn.XLOOKUP(C106,product!$B$2:$B$20,product!$C$2:$C$20)</f>
        <v>Laptop Accessories</v>
      </c>
      <c r="E106">
        <v>265</v>
      </c>
      <c r="F106">
        <v>2589</v>
      </c>
      <c r="G106">
        <v>686085</v>
      </c>
      <c r="H106">
        <v>44666</v>
      </c>
      <c r="I106" t="s">
        <v>245</v>
      </c>
      <c r="J106" t="s">
        <v>234</v>
      </c>
      <c r="K106" t="s">
        <v>235</v>
      </c>
      <c r="L106" t="s">
        <v>263</v>
      </c>
    </row>
    <row r="107" spans="1:12">
      <c r="A107">
        <v>336</v>
      </c>
      <c r="B107" t="s">
        <v>191</v>
      </c>
      <c r="C107" t="str">
        <f>_xlfn.XLOOKUP(B107,product!$A$2:$A$20,product!$B$2:$B$20)</f>
        <v>Graphics Card</v>
      </c>
      <c r="D107" t="str">
        <f>_xlfn.XLOOKUP(C107,product!$B$2:$B$20,product!$C$2:$C$20)</f>
        <v>Internal Hardware</v>
      </c>
      <c r="E107">
        <v>198</v>
      </c>
      <c r="F107">
        <v>3489</v>
      </c>
      <c r="G107">
        <v>690822</v>
      </c>
      <c r="H107">
        <v>44667</v>
      </c>
      <c r="I107" t="s">
        <v>247</v>
      </c>
      <c r="J107" t="s">
        <v>238</v>
      </c>
      <c r="K107" t="s">
        <v>248</v>
      </c>
      <c r="L107" t="s">
        <v>236</v>
      </c>
    </row>
    <row r="108" spans="1:12">
      <c r="A108">
        <v>413</v>
      </c>
      <c r="B108" t="s">
        <v>181</v>
      </c>
      <c r="C108" t="str">
        <f>_xlfn.XLOOKUP(B108,product!$A$2:$A$20,product!$B$2:$B$20)</f>
        <v>Keyboard</v>
      </c>
      <c r="D108" t="str">
        <f>_xlfn.XLOOKUP(C108,product!$B$2:$B$20,product!$C$2:$C$20)</f>
        <v>Input Device</v>
      </c>
      <c r="E108">
        <v>279</v>
      </c>
      <c r="F108">
        <v>3633</v>
      </c>
      <c r="G108">
        <v>1013607</v>
      </c>
      <c r="H108">
        <v>44668</v>
      </c>
      <c r="I108" t="s">
        <v>250</v>
      </c>
      <c r="J108" t="s">
        <v>234</v>
      </c>
      <c r="K108" t="s">
        <v>239</v>
      </c>
      <c r="L108" t="s">
        <v>240</v>
      </c>
    </row>
    <row r="109" spans="1:12">
      <c r="A109">
        <v>235</v>
      </c>
      <c r="B109" t="s">
        <v>189</v>
      </c>
      <c r="C109" t="str">
        <f>_xlfn.XLOOKUP(B109,product!$A$2:$A$20,product!$B$2:$B$20)</f>
        <v>Monitor</v>
      </c>
      <c r="D109" t="str">
        <f>_xlfn.XLOOKUP(C109,product!$B$2:$B$20,product!$C$2:$C$20)</f>
        <v>Display</v>
      </c>
      <c r="E109">
        <v>248</v>
      </c>
      <c r="F109">
        <v>4830</v>
      </c>
      <c r="G109">
        <v>1197840</v>
      </c>
      <c r="H109">
        <v>44669</v>
      </c>
      <c r="I109" t="s">
        <v>64</v>
      </c>
      <c r="J109" t="s">
        <v>238</v>
      </c>
      <c r="K109" t="s">
        <v>235</v>
      </c>
      <c r="L109" t="s">
        <v>242</v>
      </c>
    </row>
    <row r="110" spans="1:12">
      <c r="A110">
        <v>246</v>
      </c>
      <c r="B110" t="s">
        <v>183</v>
      </c>
      <c r="C110" t="str">
        <f>_xlfn.XLOOKUP(B110,product!$A$2:$A$20,product!$B$2:$B$20)</f>
        <v>Mouse</v>
      </c>
      <c r="D110" t="str">
        <f>_xlfn.XLOOKUP(C110,product!$B$2:$B$20,product!$C$2:$C$20)</f>
        <v>Input Device</v>
      </c>
      <c r="E110">
        <v>234</v>
      </c>
      <c r="F110">
        <v>2016</v>
      </c>
      <c r="G110">
        <v>471744</v>
      </c>
      <c r="H110">
        <v>44670</v>
      </c>
      <c r="I110" t="s">
        <v>254</v>
      </c>
      <c r="J110" t="s">
        <v>234</v>
      </c>
      <c r="K110" t="s">
        <v>248</v>
      </c>
      <c r="L110" t="s">
        <v>244</v>
      </c>
    </row>
    <row r="111" spans="1:12">
      <c r="A111">
        <v>443</v>
      </c>
      <c r="B111" t="s">
        <v>208</v>
      </c>
      <c r="C111" t="str">
        <f>_xlfn.XLOOKUP(B111,product!$A$2:$A$20,product!$B$2:$B$20)</f>
        <v>Headset</v>
      </c>
      <c r="D111" t="str">
        <f>_xlfn.XLOOKUP(C111,product!$B$2:$B$20,product!$C$2:$C$20)</f>
        <v>Audio</v>
      </c>
      <c r="E111">
        <v>120</v>
      </c>
      <c r="F111">
        <v>4984</v>
      </c>
      <c r="G111">
        <v>598080</v>
      </c>
      <c r="H111">
        <v>44671</v>
      </c>
      <c r="I111" t="s">
        <v>256</v>
      </c>
      <c r="J111" t="s">
        <v>234</v>
      </c>
      <c r="K111" t="s">
        <v>239</v>
      </c>
      <c r="L111" t="s">
        <v>246</v>
      </c>
    </row>
    <row r="112" spans="1:12">
      <c r="A112">
        <v>207</v>
      </c>
      <c r="B112" t="s">
        <v>184</v>
      </c>
      <c r="C112" t="str">
        <f>_xlfn.XLOOKUP(B112,product!$A$2:$A$20,product!$B$2:$B$20)</f>
        <v>Hard Drive</v>
      </c>
      <c r="D112" t="str">
        <f>_xlfn.XLOOKUP(C112,product!$B$2:$B$20,product!$C$2:$C$20)</f>
        <v>Storage</v>
      </c>
      <c r="E112">
        <v>255</v>
      </c>
      <c r="F112">
        <v>3090</v>
      </c>
      <c r="G112">
        <v>787950</v>
      </c>
      <c r="H112">
        <v>44672</v>
      </c>
      <c r="I112" t="s">
        <v>258</v>
      </c>
      <c r="J112" t="s">
        <v>238</v>
      </c>
      <c r="K112" t="s">
        <v>248</v>
      </c>
      <c r="L112" t="s">
        <v>249</v>
      </c>
    </row>
    <row r="113" spans="1:12">
      <c r="A113">
        <v>246</v>
      </c>
      <c r="B113" t="s">
        <v>189</v>
      </c>
      <c r="C113" t="str">
        <f>_xlfn.XLOOKUP(B113,product!$A$2:$A$20,product!$B$2:$B$20)</f>
        <v>Monitor</v>
      </c>
      <c r="D113" t="str">
        <f>_xlfn.XLOOKUP(C113,product!$B$2:$B$20,product!$C$2:$C$20)</f>
        <v>Display</v>
      </c>
      <c r="E113">
        <v>242</v>
      </c>
      <c r="F113">
        <v>2242</v>
      </c>
      <c r="G113">
        <v>542564</v>
      </c>
      <c r="H113">
        <v>44673</v>
      </c>
      <c r="I113" t="s">
        <v>260</v>
      </c>
      <c r="J113" t="s">
        <v>241</v>
      </c>
      <c r="K113" t="s">
        <v>235</v>
      </c>
      <c r="L113" t="s">
        <v>251</v>
      </c>
    </row>
    <row r="114" spans="1:12">
      <c r="A114">
        <v>481</v>
      </c>
      <c r="B114" t="s">
        <v>215</v>
      </c>
      <c r="C114" t="str">
        <f>_xlfn.XLOOKUP(B114,product!$A$2:$A$20,product!$B$2:$B$20)</f>
        <v>Speakers</v>
      </c>
      <c r="D114" t="str">
        <f>_xlfn.XLOOKUP(C114,product!$B$2:$B$20,product!$C$2:$C$20)</f>
        <v>Audio</v>
      </c>
      <c r="E114">
        <v>278</v>
      </c>
      <c r="F114">
        <v>4493</v>
      </c>
      <c r="G114">
        <v>1249054</v>
      </c>
      <c r="H114">
        <v>44674</v>
      </c>
      <c r="I114" t="s">
        <v>233</v>
      </c>
      <c r="J114" t="s">
        <v>234</v>
      </c>
      <c r="K114" t="s">
        <v>248</v>
      </c>
      <c r="L114" t="s">
        <v>252</v>
      </c>
    </row>
    <row r="115" spans="1:12">
      <c r="A115">
        <v>358</v>
      </c>
      <c r="B115" t="s">
        <v>213</v>
      </c>
      <c r="C115" t="str">
        <f>_xlfn.XLOOKUP(B115,product!$A$2:$A$20,product!$B$2:$B$20)</f>
        <v>Scanner</v>
      </c>
      <c r="D115" t="str">
        <f>_xlfn.XLOOKUP(C115,product!$B$2:$B$20,product!$C$2:$C$20)</f>
        <v>Peripherals</v>
      </c>
      <c r="E115">
        <v>161</v>
      </c>
      <c r="F115">
        <v>3285</v>
      </c>
      <c r="G115">
        <v>528885</v>
      </c>
      <c r="H115">
        <v>44675</v>
      </c>
      <c r="I115" t="s">
        <v>237</v>
      </c>
      <c r="J115" t="s">
        <v>238</v>
      </c>
      <c r="K115" t="s">
        <v>235</v>
      </c>
      <c r="L115" t="s">
        <v>253</v>
      </c>
    </row>
    <row r="116" spans="1:12">
      <c r="A116">
        <v>434</v>
      </c>
      <c r="B116" t="s">
        <v>215</v>
      </c>
      <c r="C116" t="str">
        <f>_xlfn.XLOOKUP(B116,product!$A$2:$A$20,product!$B$2:$B$20)</f>
        <v>Speakers</v>
      </c>
      <c r="D116" t="str">
        <f>_xlfn.XLOOKUP(C116,product!$B$2:$B$20,product!$C$2:$C$20)</f>
        <v>Audio</v>
      </c>
      <c r="E116">
        <v>102</v>
      </c>
      <c r="F116">
        <v>2690</v>
      </c>
      <c r="G116">
        <v>274380</v>
      </c>
      <c r="H116">
        <v>44676</v>
      </c>
      <c r="I116" t="s">
        <v>90</v>
      </c>
      <c r="J116" t="s">
        <v>238</v>
      </c>
      <c r="K116" t="s">
        <v>248</v>
      </c>
      <c r="L116" t="s">
        <v>255</v>
      </c>
    </row>
    <row r="117" spans="1:12">
      <c r="A117">
        <v>297</v>
      </c>
      <c r="B117" t="s">
        <v>191</v>
      </c>
      <c r="C117" t="str">
        <f>_xlfn.XLOOKUP(B117,product!$A$2:$A$20,product!$B$2:$B$20)</f>
        <v>Graphics Card</v>
      </c>
      <c r="D117" t="str">
        <f>_xlfn.XLOOKUP(C117,product!$B$2:$B$20,product!$C$2:$C$20)</f>
        <v>Internal Hardware</v>
      </c>
      <c r="E117">
        <v>215</v>
      </c>
      <c r="F117">
        <v>3017</v>
      </c>
      <c r="G117">
        <v>648655</v>
      </c>
      <c r="H117">
        <v>44677</v>
      </c>
      <c r="I117" t="s">
        <v>243</v>
      </c>
      <c r="J117" t="s">
        <v>234</v>
      </c>
      <c r="K117" t="s">
        <v>235</v>
      </c>
      <c r="L117" t="s">
        <v>257</v>
      </c>
    </row>
    <row r="118" spans="1:12">
      <c r="A118">
        <v>291</v>
      </c>
      <c r="B118" t="s">
        <v>211</v>
      </c>
      <c r="C118" t="str">
        <f>_xlfn.XLOOKUP(B118,product!$A$2:$A$20,product!$B$2:$B$20)</f>
        <v>Printer</v>
      </c>
      <c r="D118" t="str">
        <f>_xlfn.XLOOKUP(C118,product!$B$2:$B$20,product!$C$2:$C$20)</f>
        <v>Peripherals</v>
      </c>
      <c r="E118">
        <v>219</v>
      </c>
      <c r="F118">
        <v>3955</v>
      </c>
      <c r="G118">
        <v>866145</v>
      </c>
      <c r="H118">
        <v>44678</v>
      </c>
      <c r="I118" t="s">
        <v>245</v>
      </c>
      <c r="J118" t="s">
        <v>238</v>
      </c>
      <c r="K118" t="s">
        <v>248</v>
      </c>
      <c r="L118" t="s">
        <v>259</v>
      </c>
    </row>
    <row r="119" spans="1:12">
      <c r="A119">
        <v>209</v>
      </c>
      <c r="B119" t="s">
        <v>220</v>
      </c>
      <c r="C119" t="str">
        <f>_xlfn.XLOOKUP(B119,product!$A$2:$A$20,product!$B$2:$B$20)</f>
        <v>Ethernet Cable</v>
      </c>
      <c r="D119" t="str">
        <f>_xlfn.XLOOKUP(C119,product!$B$2:$B$20,product!$C$2:$C$20)</f>
        <v>Cables &amp; Connectors</v>
      </c>
      <c r="E119">
        <v>156</v>
      </c>
      <c r="F119">
        <v>2041</v>
      </c>
      <c r="G119">
        <v>318396</v>
      </c>
      <c r="H119">
        <v>44679</v>
      </c>
      <c r="I119" t="s">
        <v>247</v>
      </c>
      <c r="J119" t="s">
        <v>234</v>
      </c>
      <c r="K119" t="s">
        <v>248</v>
      </c>
      <c r="L119" t="s">
        <v>261</v>
      </c>
    </row>
    <row r="120" spans="1:12">
      <c r="A120">
        <v>333</v>
      </c>
      <c r="B120" t="s">
        <v>220</v>
      </c>
      <c r="C120" t="str">
        <f>_xlfn.XLOOKUP(B120,product!$A$2:$A$20,product!$B$2:$B$20)</f>
        <v>Ethernet Cable</v>
      </c>
      <c r="D120" t="str">
        <f>_xlfn.XLOOKUP(C120,product!$B$2:$B$20,product!$C$2:$C$20)</f>
        <v>Cables &amp; Connectors</v>
      </c>
      <c r="E120">
        <v>212</v>
      </c>
      <c r="F120">
        <v>4352</v>
      </c>
      <c r="G120">
        <v>922624</v>
      </c>
      <c r="H120">
        <v>44680</v>
      </c>
      <c r="I120" t="s">
        <v>250</v>
      </c>
      <c r="J120" t="s">
        <v>238</v>
      </c>
      <c r="K120" t="s">
        <v>248</v>
      </c>
      <c r="L120" t="s">
        <v>262</v>
      </c>
    </row>
    <row r="121" spans="1:12">
      <c r="A121">
        <v>375</v>
      </c>
      <c r="B121" t="s">
        <v>215</v>
      </c>
      <c r="C121" t="str">
        <f>_xlfn.XLOOKUP(B121,product!$A$2:$A$20,product!$B$2:$B$20)</f>
        <v>Speakers</v>
      </c>
      <c r="D121" t="str">
        <f>_xlfn.XLOOKUP(C121,product!$B$2:$B$20,product!$C$2:$C$20)</f>
        <v>Audio</v>
      </c>
      <c r="E121">
        <v>262</v>
      </c>
      <c r="F121">
        <v>3333</v>
      </c>
      <c r="G121">
        <v>873246</v>
      </c>
      <c r="H121">
        <v>44681</v>
      </c>
      <c r="I121" t="s">
        <v>64</v>
      </c>
      <c r="J121" t="s">
        <v>238</v>
      </c>
      <c r="K121" t="s">
        <v>235</v>
      </c>
      <c r="L121" t="s">
        <v>263</v>
      </c>
    </row>
    <row r="122" spans="1:12">
      <c r="A122">
        <v>341</v>
      </c>
      <c r="B122" t="s">
        <v>222</v>
      </c>
      <c r="C122" t="str">
        <f>_xlfn.XLOOKUP(B122,product!$A$2:$A$20,product!$B$2:$B$20)</f>
        <v>Laptop Bag</v>
      </c>
      <c r="D122" t="str">
        <f>_xlfn.XLOOKUP(C122,product!$B$2:$B$20,product!$C$2:$C$20)</f>
        <v>Laptop Accessories</v>
      </c>
      <c r="E122">
        <v>126</v>
      </c>
      <c r="F122">
        <v>2202</v>
      </c>
      <c r="G122">
        <v>277452</v>
      </c>
      <c r="H122">
        <v>44682</v>
      </c>
      <c r="I122" t="s">
        <v>233</v>
      </c>
      <c r="J122" t="s">
        <v>238</v>
      </c>
      <c r="K122" t="s">
        <v>248</v>
      </c>
      <c r="L122" t="s">
        <v>236</v>
      </c>
    </row>
    <row r="123" spans="1:12">
      <c r="A123">
        <v>371</v>
      </c>
      <c r="B123" t="s">
        <v>206</v>
      </c>
      <c r="C123" t="str">
        <f>_xlfn.XLOOKUP(B123,product!$A$2:$A$20,product!$B$2:$B$20)</f>
        <v>Cooling Pad</v>
      </c>
      <c r="D123" t="str">
        <f>_xlfn.XLOOKUP(C123,product!$B$2:$B$20,product!$C$2:$C$20)</f>
        <v>Laptop Accessories</v>
      </c>
      <c r="E123">
        <v>211</v>
      </c>
      <c r="F123">
        <v>2017</v>
      </c>
      <c r="G123">
        <v>425587</v>
      </c>
      <c r="H123">
        <v>44683</v>
      </c>
      <c r="I123" t="s">
        <v>237</v>
      </c>
      <c r="J123" t="s">
        <v>241</v>
      </c>
      <c r="K123" t="s">
        <v>239</v>
      </c>
      <c r="L123" t="s">
        <v>240</v>
      </c>
    </row>
    <row r="124" spans="1:12">
      <c r="A124">
        <v>391</v>
      </c>
      <c r="B124" t="s">
        <v>201</v>
      </c>
      <c r="C124" t="str">
        <f>_xlfn.XLOOKUP(B124,product!$A$2:$A$20,product!$B$2:$B$20)</f>
        <v>Webcam</v>
      </c>
      <c r="D124" t="str">
        <f>_xlfn.XLOOKUP(C124,product!$B$2:$B$20,product!$C$2:$C$20)</f>
        <v>Peripherals</v>
      </c>
      <c r="E124">
        <v>105</v>
      </c>
      <c r="F124">
        <v>2917</v>
      </c>
      <c r="G124">
        <v>306285</v>
      </c>
      <c r="H124">
        <v>44684</v>
      </c>
      <c r="I124" t="s">
        <v>90</v>
      </c>
      <c r="J124" t="s">
        <v>234</v>
      </c>
      <c r="K124" t="s">
        <v>239</v>
      </c>
      <c r="L124" t="s">
        <v>242</v>
      </c>
    </row>
    <row r="125" spans="1:12">
      <c r="A125">
        <v>223</v>
      </c>
      <c r="B125" t="s">
        <v>215</v>
      </c>
      <c r="C125" t="str">
        <f>_xlfn.XLOOKUP(B125,product!$A$2:$A$20,product!$B$2:$B$20)</f>
        <v>Speakers</v>
      </c>
      <c r="D125" t="str">
        <f>_xlfn.XLOOKUP(C125,product!$B$2:$B$20,product!$C$2:$C$20)</f>
        <v>Audio</v>
      </c>
      <c r="E125">
        <v>108</v>
      </c>
      <c r="F125">
        <v>4636</v>
      </c>
      <c r="G125">
        <v>500688</v>
      </c>
      <c r="H125">
        <v>44685</v>
      </c>
      <c r="I125" t="s">
        <v>243</v>
      </c>
      <c r="J125" t="s">
        <v>241</v>
      </c>
      <c r="K125" t="s">
        <v>239</v>
      </c>
      <c r="L125" t="s">
        <v>244</v>
      </c>
    </row>
    <row r="126" spans="1:12">
      <c r="A126">
        <v>477</v>
      </c>
      <c r="B126" t="s">
        <v>208</v>
      </c>
      <c r="C126" t="str">
        <f>_xlfn.XLOOKUP(B126,product!$A$2:$A$20,product!$B$2:$B$20)</f>
        <v>Headset</v>
      </c>
      <c r="D126" t="str">
        <f>_xlfn.XLOOKUP(C126,product!$B$2:$B$20,product!$C$2:$C$20)</f>
        <v>Audio</v>
      </c>
      <c r="E126">
        <v>102</v>
      </c>
      <c r="F126">
        <v>4835</v>
      </c>
      <c r="G126">
        <v>493170</v>
      </c>
      <c r="H126">
        <v>44686</v>
      </c>
      <c r="I126" t="s">
        <v>245</v>
      </c>
      <c r="J126" t="s">
        <v>234</v>
      </c>
      <c r="K126" t="s">
        <v>235</v>
      </c>
      <c r="L126" t="s">
        <v>246</v>
      </c>
    </row>
    <row r="127" spans="1:12">
      <c r="A127">
        <v>282</v>
      </c>
      <c r="B127" t="s">
        <v>194</v>
      </c>
      <c r="C127" t="str">
        <f>_xlfn.XLOOKUP(B127,product!$A$2:$A$20,product!$B$2:$B$20)</f>
        <v>RAM Module</v>
      </c>
      <c r="D127" t="str">
        <f>_xlfn.XLOOKUP(C127,product!$B$2:$B$20,product!$C$2:$C$20)</f>
        <v>Internal Hardware</v>
      </c>
      <c r="E127">
        <v>199</v>
      </c>
      <c r="F127">
        <v>3071</v>
      </c>
      <c r="G127">
        <v>611129</v>
      </c>
      <c r="H127">
        <v>44687</v>
      </c>
      <c r="I127" t="s">
        <v>247</v>
      </c>
      <c r="J127" t="s">
        <v>234</v>
      </c>
      <c r="K127" t="s">
        <v>235</v>
      </c>
      <c r="L127" t="s">
        <v>249</v>
      </c>
    </row>
    <row r="128" spans="1:12">
      <c r="A128">
        <v>447</v>
      </c>
      <c r="B128" t="s">
        <v>196</v>
      </c>
      <c r="C128" t="str">
        <f>_xlfn.XLOOKUP(B128,product!$A$2:$A$20,product!$B$2:$B$20)</f>
        <v>SSD</v>
      </c>
      <c r="D128" t="str">
        <f>_xlfn.XLOOKUP(C128,product!$B$2:$B$20,product!$C$2:$C$20)</f>
        <v>Internal Hardware</v>
      </c>
      <c r="E128">
        <v>289</v>
      </c>
      <c r="F128">
        <v>4442</v>
      </c>
      <c r="G128">
        <v>1283738</v>
      </c>
      <c r="H128">
        <v>44688</v>
      </c>
      <c r="I128" t="s">
        <v>250</v>
      </c>
      <c r="J128" t="s">
        <v>234</v>
      </c>
      <c r="K128" t="s">
        <v>248</v>
      </c>
      <c r="L128" t="s">
        <v>251</v>
      </c>
    </row>
    <row r="129" spans="1:12">
      <c r="A129">
        <v>253</v>
      </c>
      <c r="B129" t="s">
        <v>220</v>
      </c>
      <c r="C129" t="str">
        <f>_xlfn.XLOOKUP(B129,product!$A$2:$A$20,product!$B$2:$B$20)</f>
        <v>Ethernet Cable</v>
      </c>
      <c r="D129" t="str">
        <f>_xlfn.XLOOKUP(C129,product!$B$2:$B$20,product!$C$2:$C$20)</f>
        <v>Cables &amp; Connectors</v>
      </c>
      <c r="E129">
        <v>108</v>
      </c>
      <c r="F129">
        <v>4809</v>
      </c>
      <c r="G129">
        <v>519372</v>
      </c>
      <c r="H129">
        <v>44689</v>
      </c>
      <c r="I129" t="s">
        <v>64</v>
      </c>
      <c r="J129" t="s">
        <v>241</v>
      </c>
      <c r="K129" t="s">
        <v>235</v>
      </c>
      <c r="L129" t="s">
        <v>252</v>
      </c>
    </row>
    <row r="130" spans="1:12">
      <c r="A130">
        <v>451</v>
      </c>
      <c r="B130" t="s">
        <v>208</v>
      </c>
      <c r="C130" t="str">
        <f>_xlfn.XLOOKUP(B130,product!$A$2:$A$20,product!$B$2:$B$20)</f>
        <v>Headset</v>
      </c>
      <c r="D130" t="str">
        <f>_xlfn.XLOOKUP(C130,product!$B$2:$B$20,product!$C$2:$C$20)</f>
        <v>Audio</v>
      </c>
      <c r="E130">
        <v>183</v>
      </c>
      <c r="F130">
        <v>4956</v>
      </c>
      <c r="G130">
        <v>906948</v>
      </c>
      <c r="H130">
        <v>44690</v>
      </c>
      <c r="I130" t="s">
        <v>59</v>
      </c>
      <c r="J130" t="s">
        <v>234</v>
      </c>
      <c r="K130" t="s">
        <v>239</v>
      </c>
      <c r="L130" t="s">
        <v>253</v>
      </c>
    </row>
    <row r="131" spans="1:12">
      <c r="A131">
        <v>218</v>
      </c>
      <c r="B131" t="s">
        <v>211</v>
      </c>
      <c r="C131" t="str">
        <f>_xlfn.XLOOKUP(B131,product!$A$2:$A$20,product!$B$2:$B$20)</f>
        <v>Printer</v>
      </c>
      <c r="D131" t="str">
        <f>_xlfn.XLOOKUP(C131,product!$B$2:$B$20,product!$C$2:$C$20)</f>
        <v>Peripherals</v>
      </c>
      <c r="E131">
        <v>175</v>
      </c>
      <c r="F131">
        <v>2056</v>
      </c>
      <c r="G131">
        <v>359800</v>
      </c>
      <c r="H131">
        <v>44691</v>
      </c>
      <c r="I131" t="s">
        <v>254</v>
      </c>
      <c r="J131" t="s">
        <v>238</v>
      </c>
      <c r="K131" t="s">
        <v>235</v>
      </c>
      <c r="L131" t="s">
        <v>255</v>
      </c>
    </row>
    <row r="132" spans="1:12">
      <c r="A132">
        <v>398</v>
      </c>
      <c r="B132" t="s">
        <v>220</v>
      </c>
      <c r="C132" t="str">
        <f>_xlfn.XLOOKUP(B132,product!$A$2:$A$20,product!$B$2:$B$20)</f>
        <v>Ethernet Cable</v>
      </c>
      <c r="D132" t="str">
        <f>_xlfn.XLOOKUP(C132,product!$B$2:$B$20,product!$C$2:$C$20)</f>
        <v>Cables &amp; Connectors</v>
      </c>
      <c r="E132">
        <v>147</v>
      </c>
      <c r="F132">
        <v>3681</v>
      </c>
      <c r="G132">
        <v>541107</v>
      </c>
      <c r="H132">
        <v>44692</v>
      </c>
      <c r="I132" t="s">
        <v>256</v>
      </c>
      <c r="J132" t="s">
        <v>241</v>
      </c>
      <c r="K132" t="s">
        <v>248</v>
      </c>
      <c r="L132" t="s">
        <v>257</v>
      </c>
    </row>
    <row r="133" spans="1:12">
      <c r="A133">
        <v>227</v>
      </c>
      <c r="B133" t="s">
        <v>198</v>
      </c>
      <c r="C133" t="str">
        <f>_xlfn.XLOOKUP(B133,product!$A$2:$A$20,product!$B$2:$B$20)</f>
        <v>HDMI Cable</v>
      </c>
      <c r="D133" t="str">
        <f>_xlfn.XLOOKUP(C133,product!$B$2:$B$20,product!$C$2:$C$20)</f>
        <v>Cables &amp; Connectors</v>
      </c>
      <c r="E133">
        <v>128</v>
      </c>
      <c r="F133">
        <v>3545</v>
      </c>
      <c r="G133">
        <v>453760</v>
      </c>
      <c r="H133">
        <v>44693</v>
      </c>
      <c r="I133" t="s">
        <v>258</v>
      </c>
      <c r="J133" t="s">
        <v>241</v>
      </c>
      <c r="K133" t="s">
        <v>239</v>
      </c>
      <c r="L133" t="s">
        <v>259</v>
      </c>
    </row>
    <row r="134" spans="1:12">
      <c r="A134">
        <v>291</v>
      </c>
      <c r="B134" t="s">
        <v>184</v>
      </c>
      <c r="C134" t="str">
        <f>_xlfn.XLOOKUP(B134,product!$A$2:$A$20,product!$B$2:$B$20)</f>
        <v>Hard Drive</v>
      </c>
      <c r="D134" t="str">
        <f>_xlfn.XLOOKUP(C134,product!$B$2:$B$20,product!$C$2:$C$20)</f>
        <v>Storage</v>
      </c>
      <c r="E134">
        <v>276</v>
      </c>
      <c r="F134">
        <v>3219</v>
      </c>
      <c r="G134">
        <v>888444</v>
      </c>
      <c r="H134">
        <v>44694</v>
      </c>
      <c r="I134" t="s">
        <v>260</v>
      </c>
      <c r="J134" t="s">
        <v>238</v>
      </c>
      <c r="K134" t="s">
        <v>248</v>
      </c>
      <c r="L134" t="s">
        <v>261</v>
      </c>
    </row>
    <row r="135" spans="1:12">
      <c r="A135">
        <v>352</v>
      </c>
      <c r="B135" t="s">
        <v>189</v>
      </c>
      <c r="C135" t="str">
        <f>_xlfn.XLOOKUP(B135,product!$A$2:$A$20,product!$B$2:$B$20)</f>
        <v>Monitor</v>
      </c>
      <c r="D135" t="str">
        <f>_xlfn.XLOOKUP(C135,product!$B$2:$B$20,product!$C$2:$C$20)</f>
        <v>Display</v>
      </c>
      <c r="E135">
        <v>247</v>
      </c>
      <c r="F135">
        <v>3566</v>
      </c>
      <c r="G135">
        <v>880802</v>
      </c>
      <c r="H135">
        <v>44695</v>
      </c>
      <c r="I135" t="s">
        <v>233</v>
      </c>
      <c r="J135" t="s">
        <v>234</v>
      </c>
      <c r="K135" t="s">
        <v>239</v>
      </c>
      <c r="L135" t="s">
        <v>262</v>
      </c>
    </row>
    <row r="136" spans="1:12">
      <c r="A136">
        <v>327</v>
      </c>
      <c r="B136" t="s">
        <v>194</v>
      </c>
      <c r="C136" t="str">
        <f>_xlfn.XLOOKUP(B136,product!$A$2:$A$20,product!$B$2:$B$20)</f>
        <v>RAM Module</v>
      </c>
      <c r="D136" t="str">
        <f>_xlfn.XLOOKUP(C136,product!$B$2:$B$20,product!$C$2:$C$20)</f>
        <v>Internal Hardware</v>
      </c>
      <c r="E136">
        <v>205</v>
      </c>
      <c r="F136">
        <v>3711</v>
      </c>
      <c r="G136">
        <v>760755</v>
      </c>
      <c r="H136">
        <v>44696</v>
      </c>
      <c r="I136" t="s">
        <v>237</v>
      </c>
      <c r="J136" t="s">
        <v>241</v>
      </c>
      <c r="K136" t="s">
        <v>239</v>
      </c>
      <c r="L136" t="s">
        <v>263</v>
      </c>
    </row>
    <row r="137" spans="1:12">
      <c r="A137">
        <v>288</v>
      </c>
      <c r="B137" t="s">
        <v>211</v>
      </c>
      <c r="C137" t="str">
        <f>_xlfn.XLOOKUP(B137,product!$A$2:$A$20,product!$B$2:$B$20)</f>
        <v>Printer</v>
      </c>
      <c r="D137" t="str">
        <f>_xlfn.XLOOKUP(C137,product!$B$2:$B$20,product!$C$2:$C$20)</f>
        <v>Peripherals</v>
      </c>
      <c r="E137">
        <v>200</v>
      </c>
      <c r="F137">
        <v>2009</v>
      </c>
      <c r="G137">
        <v>401800</v>
      </c>
      <c r="H137">
        <v>44697</v>
      </c>
      <c r="I137" t="s">
        <v>90</v>
      </c>
      <c r="J137" t="s">
        <v>241</v>
      </c>
      <c r="K137" t="s">
        <v>248</v>
      </c>
      <c r="L137" t="s">
        <v>236</v>
      </c>
    </row>
    <row r="138" spans="1:12">
      <c r="A138">
        <v>374</v>
      </c>
      <c r="B138" t="s">
        <v>194</v>
      </c>
      <c r="C138" t="str">
        <f>_xlfn.XLOOKUP(B138,product!$A$2:$A$20,product!$B$2:$B$20)</f>
        <v>RAM Module</v>
      </c>
      <c r="D138" t="str">
        <f>_xlfn.XLOOKUP(C138,product!$B$2:$B$20,product!$C$2:$C$20)</f>
        <v>Internal Hardware</v>
      </c>
      <c r="E138">
        <v>103</v>
      </c>
      <c r="F138">
        <v>2978</v>
      </c>
      <c r="G138">
        <v>306734</v>
      </c>
      <c r="H138">
        <v>44698</v>
      </c>
      <c r="I138" t="s">
        <v>243</v>
      </c>
      <c r="J138" t="s">
        <v>234</v>
      </c>
      <c r="K138" t="s">
        <v>248</v>
      </c>
      <c r="L138" t="s">
        <v>240</v>
      </c>
    </row>
    <row r="139" spans="1:12">
      <c r="A139">
        <v>377</v>
      </c>
      <c r="B139" t="s">
        <v>206</v>
      </c>
      <c r="C139" t="str">
        <f>_xlfn.XLOOKUP(B139,product!$A$2:$A$20,product!$B$2:$B$20)</f>
        <v>Cooling Pad</v>
      </c>
      <c r="D139" t="str">
        <f>_xlfn.XLOOKUP(C139,product!$B$2:$B$20,product!$C$2:$C$20)</f>
        <v>Laptop Accessories</v>
      </c>
      <c r="E139">
        <v>286</v>
      </c>
      <c r="F139">
        <v>4003</v>
      </c>
      <c r="G139">
        <v>1144858</v>
      </c>
      <c r="H139">
        <v>44699</v>
      </c>
      <c r="I139" t="s">
        <v>245</v>
      </c>
      <c r="J139" t="s">
        <v>234</v>
      </c>
      <c r="K139" t="s">
        <v>235</v>
      </c>
      <c r="L139" t="s">
        <v>242</v>
      </c>
    </row>
    <row r="140" spans="1:12">
      <c r="A140">
        <v>310</v>
      </c>
      <c r="B140" t="s">
        <v>187</v>
      </c>
      <c r="C140" t="str">
        <f>_xlfn.XLOOKUP(B140,product!$A$2:$A$20,product!$B$2:$B$20)</f>
        <v>USB Flash Drive</v>
      </c>
      <c r="D140" t="str">
        <f>_xlfn.XLOOKUP(C140,product!$B$2:$B$20,product!$C$2:$C$20)</f>
        <v>Storage</v>
      </c>
      <c r="E140">
        <v>180</v>
      </c>
      <c r="F140">
        <v>3047</v>
      </c>
      <c r="G140">
        <v>548460</v>
      </c>
      <c r="H140">
        <v>44700</v>
      </c>
      <c r="I140" t="s">
        <v>247</v>
      </c>
      <c r="J140" t="s">
        <v>234</v>
      </c>
      <c r="K140" t="s">
        <v>248</v>
      </c>
      <c r="L140" t="s">
        <v>244</v>
      </c>
    </row>
    <row r="141" spans="1:12">
      <c r="A141">
        <v>244</v>
      </c>
      <c r="B141" t="s">
        <v>213</v>
      </c>
      <c r="C141" t="str">
        <f>_xlfn.XLOOKUP(B141,product!$A$2:$A$20,product!$B$2:$B$20)</f>
        <v>Scanner</v>
      </c>
      <c r="D141" t="str">
        <f>_xlfn.XLOOKUP(C141,product!$B$2:$B$20,product!$C$2:$C$20)</f>
        <v>Peripherals</v>
      </c>
      <c r="E141">
        <v>101</v>
      </c>
      <c r="F141">
        <v>3892</v>
      </c>
      <c r="G141">
        <v>393092</v>
      </c>
      <c r="H141">
        <v>44701</v>
      </c>
      <c r="I141" t="s">
        <v>250</v>
      </c>
      <c r="J141" t="s">
        <v>241</v>
      </c>
      <c r="K141" t="s">
        <v>235</v>
      </c>
      <c r="L141" t="s">
        <v>246</v>
      </c>
    </row>
    <row r="142" spans="1:12">
      <c r="A142">
        <v>258</v>
      </c>
      <c r="B142" t="s">
        <v>220</v>
      </c>
      <c r="C142" t="str">
        <f>_xlfn.XLOOKUP(B142,product!$A$2:$A$20,product!$B$2:$B$20)</f>
        <v>Ethernet Cable</v>
      </c>
      <c r="D142" t="str">
        <f>_xlfn.XLOOKUP(C142,product!$B$2:$B$20,product!$C$2:$C$20)</f>
        <v>Cables &amp; Connectors</v>
      </c>
      <c r="E142">
        <v>253</v>
      </c>
      <c r="F142">
        <v>2462</v>
      </c>
      <c r="G142">
        <v>622886</v>
      </c>
      <c r="H142">
        <v>44702</v>
      </c>
      <c r="I142" t="s">
        <v>64</v>
      </c>
      <c r="J142" t="s">
        <v>234</v>
      </c>
      <c r="K142" t="s">
        <v>239</v>
      </c>
      <c r="L142" t="s">
        <v>249</v>
      </c>
    </row>
    <row r="143" spans="1:12">
      <c r="A143">
        <v>245</v>
      </c>
      <c r="B143" t="s">
        <v>201</v>
      </c>
      <c r="C143" t="str">
        <f>_xlfn.XLOOKUP(B143,product!$A$2:$A$20,product!$B$2:$B$20)</f>
        <v>Webcam</v>
      </c>
      <c r="D143" t="str">
        <f>_xlfn.XLOOKUP(C143,product!$B$2:$B$20,product!$C$2:$C$20)</f>
        <v>Peripherals</v>
      </c>
      <c r="E143">
        <v>281</v>
      </c>
      <c r="F143">
        <v>2998</v>
      </c>
      <c r="G143">
        <v>842438</v>
      </c>
      <c r="H143">
        <v>44703</v>
      </c>
      <c r="I143" t="s">
        <v>254</v>
      </c>
      <c r="J143" t="s">
        <v>241</v>
      </c>
      <c r="K143" t="s">
        <v>248</v>
      </c>
      <c r="L143" t="s">
        <v>251</v>
      </c>
    </row>
    <row r="144" spans="1:12">
      <c r="A144">
        <v>207</v>
      </c>
      <c r="B144" t="s">
        <v>187</v>
      </c>
      <c r="C144" t="str">
        <f>_xlfn.XLOOKUP(B144,product!$A$2:$A$20,product!$B$2:$B$20)</f>
        <v>USB Flash Drive</v>
      </c>
      <c r="D144" t="str">
        <f>_xlfn.XLOOKUP(C144,product!$B$2:$B$20,product!$C$2:$C$20)</f>
        <v>Storage</v>
      </c>
      <c r="E144">
        <v>233</v>
      </c>
      <c r="F144">
        <v>2361</v>
      </c>
      <c r="G144">
        <v>550113</v>
      </c>
      <c r="H144">
        <v>44704</v>
      </c>
      <c r="I144" t="s">
        <v>256</v>
      </c>
      <c r="J144" t="s">
        <v>238</v>
      </c>
      <c r="K144" t="s">
        <v>248</v>
      </c>
      <c r="L144" t="s">
        <v>252</v>
      </c>
    </row>
    <row r="145" spans="1:12">
      <c r="A145">
        <v>243</v>
      </c>
      <c r="B145" t="s">
        <v>203</v>
      </c>
      <c r="C145" t="str">
        <f>_xlfn.XLOOKUP(B145,product!$A$2:$A$20,product!$B$2:$B$20)</f>
        <v>Laptop Stand</v>
      </c>
      <c r="D145" t="str">
        <f>_xlfn.XLOOKUP(C145,product!$B$2:$B$20,product!$C$2:$C$20)</f>
        <v>Laptop Accessories</v>
      </c>
      <c r="E145">
        <v>300</v>
      </c>
      <c r="F145">
        <v>2692</v>
      </c>
      <c r="G145">
        <v>807600</v>
      </c>
      <c r="H145">
        <v>44705</v>
      </c>
      <c r="I145" t="s">
        <v>258</v>
      </c>
      <c r="J145" t="s">
        <v>234</v>
      </c>
      <c r="K145" t="s">
        <v>239</v>
      </c>
      <c r="L145" t="s">
        <v>253</v>
      </c>
    </row>
    <row r="146" spans="1:12">
      <c r="A146">
        <v>278</v>
      </c>
      <c r="B146" t="s">
        <v>189</v>
      </c>
      <c r="C146" t="str">
        <f>_xlfn.XLOOKUP(B146,product!$A$2:$A$20,product!$B$2:$B$20)</f>
        <v>Monitor</v>
      </c>
      <c r="D146" t="str">
        <f>_xlfn.XLOOKUP(C146,product!$B$2:$B$20,product!$C$2:$C$20)</f>
        <v>Display</v>
      </c>
      <c r="E146">
        <v>214</v>
      </c>
      <c r="F146">
        <v>3818</v>
      </c>
      <c r="G146">
        <v>817052</v>
      </c>
      <c r="H146">
        <v>44706</v>
      </c>
      <c r="I146" t="s">
        <v>260</v>
      </c>
      <c r="J146" t="s">
        <v>238</v>
      </c>
      <c r="K146" t="s">
        <v>239</v>
      </c>
      <c r="L146" t="s">
        <v>255</v>
      </c>
    </row>
    <row r="147" spans="1:12">
      <c r="A147">
        <v>345</v>
      </c>
      <c r="B147" t="s">
        <v>194</v>
      </c>
      <c r="C147" t="str">
        <f>_xlfn.XLOOKUP(B147,product!$A$2:$A$20,product!$B$2:$B$20)</f>
        <v>RAM Module</v>
      </c>
      <c r="D147" t="str">
        <f>_xlfn.XLOOKUP(C147,product!$B$2:$B$20,product!$C$2:$C$20)</f>
        <v>Internal Hardware</v>
      </c>
      <c r="E147">
        <v>275</v>
      </c>
      <c r="F147">
        <v>4003</v>
      </c>
      <c r="G147">
        <v>1100825</v>
      </c>
      <c r="H147">
        <v>44707</v>
      </c>
      <c r="I147" t="s">
        <v>233</v>
      </c>
      <c r="J147" t="s">
        <v>241</v>
      </c>
      <c r="K147" t="s">
        <v>248</v>
      </c>
      <c r="L147" t="s">
        <v>257</v>
      </c>
    </row>
    <row r="148" spans="1:12">
      <c r="A148">
        <v>307</v>
      </c>
      <c r="B148" t="s">
        <v>220</v>
      </c>
      <c r="C148" t="str">
        <f>_xlfn.XLOOKUP(B148,product!$A$2:$A$20,product!$B$2:$B$20)</f>
        <v>Ethernet Cable</v>
      </c>
      <c r="D148" t="str">
        <f>_xlfn.XLOOKUP(C148,product!$B$2:$B$20,product!$C$2:$C$20)</f>
        <v>Cables &amp; Connectors</v>
      </c>
      <c r="E148">
        <v>264</v>
      </c>
      <c r="F148">
        <v>3992</v>
      </c>
      <c r="G148">
        <v>1053888</v>
      </c>
      <c r="H148">
        <v>44708</v>
      </c>
      <c r="I148" t="s">
        <v>237</v>
      </c>
      <c r="J148" t="s">
        <v>234</v>
      </c>
      <c r="K148" t="s">
        <v>248</v>
      </c>
      <c r="L148" t="s">
        <v>259</v>
      </c>
    </row>
    <row r="149" spans="1:12">
      <c r="A149">
        <v>380</v>
      </c>
      <c r="B149" t="s">
        <v>217</v>
      </c>
      <c r="C149" t="str">
        <f>_xlfn.XLOOKUP(B149,product!$A$2:$A$20,product!$B$2:$B$20)</f>
        <v>Wireless Router</v>
      </c>
      <c r="D149" t="str">
        <f>_xlfn.XLOOKUP(C149,product!$B$2:$B$20,product!$C$2:$C$20)</f>
        <v>Network</v>
      </c>
      <c r="E149">
        <v>159</v>
      </c>
      <c r="F149">
        <v>2992</v>
      </c>
      <c r="G149">
        <v>475728</v>
      </c>
      <c r="H149">
        <v>44709</v>
      </c>
      <c r="I149" t="s">
        <v>90</v>
      </c>
      <c r="J149" t="s">
        <v>241</v>
      </c>
      <c r="K149" t="s">
        <v>239</v>
      </c>
      <c r="L149" t="s">
        <v>261</v>
      </c>
    </row>
    <row r="150" spans="1:12">
      <c r="A150">
        <v>234</v>
      </c>
      <c r="B150" t="s">
        <v>217</v>
      </c>
      <c r="C150" t="str">
        <f>_xlfn.XLOOKUP(B150,product!$A$2:$A$20,product!$B$2:$B$20)</f>
        <v>Wireless Router</v>
      </c>
      <c r="D150" t="str">
        <f>_xlfn.XLOOKUP(C150,product!$B$2:$B$20,product!$C$2:$C$20)</f>
        <v>Network</v>
      </c>
      <c r="E150">
        <v>266</v>
      </c>
      <c r="F150">
        <v>4605</v>
      </c>
      <c r="G150">
        <v>1224930</v>
      </c>
      <c r="H150">
        <v>44710</v>
      </c>
      <c r="I150" t="s">
        <v>243</v>
      </c>
      <c r="J150" t="s">
        <v>241</v>
      </c>
      <c r="K150" t="s">
        <v>235</v>
      </c>
      <c r="L150" t="s">
        <v>262</v>
      </c>
    </row>
    <row r="151" spans="1:12">
      <c r="A151">
        <v>396</v>
      </c>
      <c r="B151" t="s">
        <v>208</v>
      </c>
      <c r="C151" t="str">
        <f>_xlfn.XLOOKUP(B151,product!$A$2:$A$20,product!$B$2:$B$20)</f>
        <v>Headset</v>
      </c>
      <c r="D151" t="str">
        <f>_xlfn.XLOOKUP(C151,product!$B$2:$B$20,product!$C$2:$C$20)</f>
        <v>Audio</v>
      </c>
      <c r="E151">
        <v>217</v>
      </c>
      <c r="F151">
        <v>4247</v>
      </c>
      <c r="G151">
        <v>921599</v>
      </c>
      <c r="H151">
        <v>44711</v>
      </c>
      <c r="I151" t="s">
        <v>245</v>
      </c>
      <c r="J151" t="s">
        <v>238</v>
      </c>
      <c r="K151" t="s">
        <v>239</v>
      </c>
      <c r="L151" t="s">
        <v>263</v>
      </c>
    </row>
    <row r="152" spans="1:12">
      <c r="A152">
        <v>353</v>
      </c>
      <c r="B152" t="s">
        <v>198</v>
      </c>
      <c r="C152" t="str">
        <f>_xlfn.XLOOKUP(B152,product!$A$2:$A$20,product!$B$2:$B$20)</f>
        <v>HDMI Cable</v>
      </c>
      <c r="D152" t="str">
        <f>_xlfn.XLOOKUP(C152,product!$B$2:$B$20,product!$C$2:$C$20)</f>
        <v>Cables &amp; Connectors</v>
      </c>
      <c r="E152">
        <v>218</v>
      </c>
      <c r="F152">
        <v>4048</v>
      </c>
      <c r="G152">
        <v>882464</v>
      </c>
      <c r="H152">
        <v>44712</v>
      </c>
      <c r="I152" t="s">
        <v>247</v>
      </c>
      <c r="J152" t="s">
        <v>241</v>
      </c>
      <c r="K152" t="s">
        <v>239</v>
      </c>
      <c r="L152" t="s">
        <v>236</v>
      </c>
    </row>
    <row r="153" spans="1:12">
      <c r="A153">
        <v>483</v>
      </c>
      <c r="B153" t="s">
        <v>217</v>
      </c>
      <c r="C153" t="str">
        <f>_xlfn.XLOOKUP(B153,product!$A$2:$A$20,product!$B$2:$B$20)</f>
        <v>Wireless Router</v>
      </c>
      <c r="D153" t="str">
        <f>_xlfn.XLOOKUP(C153,product!$B$2:$B$20,product!$C$2:$C$20)</f>
        <v>Network</v>
      </c>
      <c r="E153">
        <v>189</v>
      </c>
      <c r="F153">
        <v>4751</v>
      </c>
      <c r="G153">
        <v>897939</v>
      </c>
      <c r="H153">
        <v>44713</v>
      </c>
      <c r="I153" t="s">
        <v>250</v>
      </c>
      <c r="J153" t="s">
        <v>241</v>
      </c>
      <c r="K153" t="s">
        <v>239</v>
      </c>
      <c r="L153" t="s">
        <v>240</v>
      </c>
    </row>
    <row r="154" spans="1:12">
      <c r="A154">
        <v>481</v>
      </c>
      <c r="B154" t="s">
        <v>203</v>
      </c>
      <c r="C154" t="str">
        <f>_xlfn.XLOOKUP(B154,product!$A$2:$A$20,product!$B$2:$B$20)</f>
        <v>Laptop Stand</v>
      </c>
      <c r="D154" t="str">
        <f>_xlfn.XLOOKUP(C154,product!$B$2:$B$20,product!$C$2:$C$20)</f>
        <v>Laptop Accessories</v>
      </c>
      <c r="E154">
        <v>109</v>
      </c>
      <c r="F154">
        <v>4241</v>
      </c>
      <c r="G154">
        <v>462269</v>
      </c>
      <c r="H154">
        <v>44714</v>
      </c>
      <c r="I154" t="s">
        <v>64</v>
      </c>
      <c r="J154" t="s">
        <v>238</v>
      </c>
      <c r="K154" t="s">
        <v>248</v>
      </c>
      <c r="L154" t="s">
        <v>242</v>
      </c>
    </row>
    <row r="155" spans="1:12">
      <c r="A155">
        <v>216</v>
      </c>
      <c r="B155" t="s">
        <v>208</v>
      </c>
      <c r="C155" t="str">
        <f>_xlfn.XLOOKUP(B155,product!$A$2:$A$20,product!$B$2:$B$20)</f>
        <v>Headset</v>
      </c>
      <c r="D155" t="str">
        <f>_xlfn.XLOOKUP(C155,product!$B$2:$B$20,product!$C$2:$C$20)</f>
        <v>Audio</v>
      </c>
      <c r="E155">
        <v>161</v>
      </c>
      <c r="F155">
        <v>2296</v>
      </c>
      <c r="G155">
        <v>369656</v>
      </c>
      <c r="H155">
        <v>44715</v>
      </c>
      <c r="I155" t="s">
        <v>245</v>
      </c>
      <c r="J155" t="s">
        <v>234</v>
      </c>
      <c r="K155" t="s">
        <v>239</v>
      </c>
      <c r="L155" t="s">
        <v>244</v>
      </c>
    </row>
    <row r="156" spans="1:12">
      <c r="A156">
        <v>405</v>
      </c>
      <c r="B156" t="s">
        <v>198</v>
      </c>
      <c r="C156" t="str">
        <f>_xlfn.XLOOKUP(B156,product!$A$2:$A$20,product!$B$2:$B$20)</f>
        <v>HDMI Cable</v>
      </c>
      <c r="D156" t="str">
        <f>_xlfn.XLOOKUP(C156,product!$B$2:$B$20,product!$C$2:$C$20)</f>
        <v>Cables &amp; Connectors</v>
      </c>
      <c r="E156">
        <v>281</v>
      </c>
      <c r="F156">
        <v>2968</v>
      </c>
      <c r="G156">
        <v>834008</v>
      </c>
      <c r="H156">
        <v>44716</v>
      </c>
      <c r="I156" t="s">
        <v>247</v>
      </c>
      <c r="J156" t="s">
        <v>238</v>
      </c>
      <c r="K156" t="s">
        <v>235</v>
      </c>
      <c r="L156" t="s">
        <v>246</v>
      </c>
    </row>
    <row r="157" spans="1:12">
      <c r="A157">
        <v>392</v>
      </c>
      <c r="B157" t="s">
        <v>184</v>
      </c>
      <c r="C157" t="str">
        <f>_xlfn.XLOOKUP(B157,product!$A$2:$A$20,product!$B$2:$B$20)</f>
        <v>Hard Drive</v>
      </c>
      <c r="D157" t="str">
        <f>_xlfn.XLOOKUP(C157,product!$B$2:$B$20,product!$C$2:$C$20)</f>
        <v>Storage</v>
      </c>
      <c r="E157">
        <v>267</v>
      </c>
      <c r="F157">
        <v>3009</v>
      </c>
      <c r="G157">
        <v>803403</v>
      </c>
      <c r="H157">
        <v>44717</v>
      </c>
      <c r="I157" t="s">
        <v>250</v>
      </c>
      <c r="J157" t="s">
        <v>234</v>
      </c>
      <c r="K157" t="s">
        <v>248</v>
      </c>
      <c r="L157" t="s">
        <v>249</v>
      </c>
    </row>
    <row r="158" spans="1:12">
      <c r="A158">
        <v>201</v>
      </c>
      <c r="B158" t="s">
        <v>208</v>
      </c>
      <c r="C158" t="str">
        <f>_xlfn.XLOOKUP(B158,product!$A$2:$A$20,product!$B$2:$B$20)</f>
        <v>Headset</v>
      </c>
      <c r="D158" t="str">
        <f>_xlfn.XLOOKUP(C158,product!$B$2:$B$20,product!$C$2:$C$20)</f>
        <v>Audio</v>
      </c>
      <c r="E158">
        <v>267</v>
      </c>
      <c r="F158">
        <v>2911</v>
      </c>
      <c r="G158">
        <v>777237</v>
      </c>
      <c r="H158">
        <v>44718</v>
      </c>
      <c r="I158" t="s">
        <v>64</v>
      </c>
      <c r="J158" t="s">
        <v>234</v>
      </c>
      <c r="K158" t="s">
        <v>239</v>
      </c>
      <c r="L158" t="s">
        <v>251</v>
      </c>
    </row>
    <row r="159" spans="1:12">
      <c r="A159">
        <v>371</v>
      </c>
      <c r="B159" t="s">
        <v>189</v>
      </c>
      <c r="C159" t="str">
        <f>_xlfn.XLOOKUP(B159,product!$A$2:$A$20,product!$B$2:$B$20)</f>
        <v>Monitor</v>
      </c>
      <c r="D159" t="str">
        <f>_xlfn.XLOOKUP(C159,product!$B$2:$B$20,product!$C$2:$C$20)</f>
        <v>Display</v>
      </c>
      <c r="E159">
        <v>196</v>
      </c>
      <c r="F159">
        <v>2654</v>
      </c>
      <c r="G159">
        <v>520184</v>
      </c>
      <c r="H159">
        <v>44719</v>
      </c>
      <c r="I159" t="s">
        <v>59</v>
      </c>
      <c r="J159" t="s">
        <v>241</v>
      </c>
      <c r="K159" t="s">
        <v>239</v>
      </c>
      <c r="L159" t="s">
        <v>252</v>
      </c>
    </row>
    <row r="160" spans="1:12">
      <c r="A160">
        <v>309</v>
      </c>
      <c r="B160" t="s">
        <v>191</v>
      </c>
      <c r="C160" t="str">
        <f>_xlfn.XLOOKUP(B160,product!$A$2:$A$20,product!$B$2:$B$20)</f>
        <v>Graphics Card</v>
      </c>
      <c r="D160" t="str">
        <f>_xlfn.XLOOKUP(C160,product!$B$2:$B$20,product!$C$2:$C$20)</f>
        <v>Internal Hardware</v>
      </c>
      <c r="E160">
        <v>222</v>
      </c>
      <c r="F160">
        <v>3527</v>
      </c>
      <c r="G160">
        <v>782994</v>
      </c>
      <c r="H160">
        <v>44720</v>
      </c>
      <c r="I160" t="s">
        <v>254</v>
      </c>
      <c r="J160" t="s">
        <v>234</v>
      </c>
      <c r="K160" t="s">
        <v>248</v>
      </c>
      <c r="L160" t="s">
        <v>253</v>
      </c>
    </row>
    <row r="161" spans="1:12">
      <c r="A161">
        <v>435</v>
      </c>
      <c r="B161" t="s">
        <v>211</v>
      </c>
      <c r="C161" t="str">
        <f>_xlfn.XLOOKUP(B161,product!$A$2:$A$20,product!$B$2:$B$20)</f>
        <v>Printer</v>
      </c>
      <c r="D161" t="str">
        <f>_xlfn.XLOOKUP(C161,product!$B$2:$B$20,product!$C$2:$C$20)</f>
        <v>Peripherals</v>
      </c>
      <c r="E161">
        <v>135</v>
      </c>
      <c r="F161">
        <v>4740</v>
      </c>
      <c r="G161">
        <v>639900</v>
      </c>
      <c r="H161">
        <v>44721</v>
      </c>
      <c r="I161" t="s">
        <v>256</v>
      </c>
      <c r="J161" t="s">
        <v>238</v>
      </c>
      <c r="K161" t="s">
        <v>235</v>
      </c>
      <c r="L161" t="s">
        <v>255</v>
      </c>
    </row>
    <row r="162" spans="1:12">
      <c r="A162">
        <v>353</v>
      </c>
      <c r="B162" t="s">
        <v>194</v>
      </c>
      <c r="C162" t="str">
        <f>_xlfn.XLOOKUP(B162,product!$A$2:$A$20,product!$B$2:$B$20)</f>
        <v>RAM Module</v>
      </c>
      <c r="D162" t="str">
        <f>_xlfn.XLOOKUP(C162,product!$B$2:$B$20,product!$C$2:$C$20)</f>
        <v>Internal Hardware</v>
      </c>
      <c r="E162">
        <v>176</v>
      </c>
      <c r="F162">
        <v>4116</v>
      </c>
      <c r="G162">
        <v>724416</v>
      </c>
      <c r="H162">
        <v>44722</v>
      </c>
      <c r="I162" t="s">
        <v>258</v>
      </c>
      <c r="J162" t="s">
        <v>241</v>
      </c>
      <c r="K162" t="s">
        <v>248</v>
      </c>
      <c r="L162" t="s">
        <v>257</v>
      </c>
    </row>
    <row r="163" spans="1:12">
      <c r="A163">
        <v>392</v>
      </c>
      <c r="B163" t="s">
        <v>194</v>
      </c>
      <c r="C163" t="str">
        <f>_xlfn.XLOOKUP(B163,product!$A$2:$A$20,product!$B$2:$B$20)</f>
        <v>RAM Module</v>
      </c>
      <c r="D163" t="str">
        <f>_xlfn.XLOOKUP(C163,product!$B$2:$B$20,product!$C$2:$C$20)</f>
        <v>Internal Hardware</v>
      </c>
      <c r="E163">
        <v>278</v>
      </c>
      <c r="F163">
        <v>2243</v>
      </c>
      <c r="G163">
        <v>623554</v>
      </c>
      <c r="H163">
        <v>44723</v>
      </c>
      <c r="I163" t="s">
        <v>260</v>
      </c>
      <c r="J163" t="s">
        <v>238</v>
      </c>
      <c r="K163" t="s">
        <v>248</v>
      </c>
      <c r="L163" t="s">
        <v>259</v>
      </c>
    </row>
    <row r="164" spans="1:12">
      <c r="A164">
        <v>351</v>
      </c>
      <c r="B164" t="s">
        <v>191</v>
      </c>
      <c r="C164" t="str">
        <f>_xlfn.XLOOKUP(B164,product!$A$2:$A$20,product!$B$2:$B$20)</f>
        <v>Graphics Card</v>
      </c>
      <c r="D164" t="str">
        <f>_xlfn.XLOOKUP(C164,product!$B$2:$B$20,product!$C$2:$C$20)</f>
        <v>Internal Hardware</v>
      </c>
      <c r="E164">
        <v>242</v>
      </c>
      <c r="F164">
        <v>3372</v>
      </c>
      <c r="G164">
        <v>816024</v>
      </c>
      <c r="H164">
        <v>44724</v>
      </c>
      <c r="I164" t="s">
        <v>233</v>
      </c>
      <c r="J164" t="s">
        <v>238</v>
      </c>
      <c r="K164" t="s">
        <v>235</v>
      </c>
      <c r="L164" t="s">
        <v>261</v>
      </c>
    </row>
    <row r="165" spans="1:12">
      <c r="A165">
        <v>252</v>
      </c>
      <c r="B165" t="s">
        <v>201</v>
      </c>
      <c r="C165" t="str">
        <f>_xlfn.XLOOKUP(B165,product!$A$2:$A$20,product!$B$2:$B$20)</f>
        <v>Webcam</v>
      </c>
      <c r="D165" t="str">
        <f>_xlfn.XLOOKUP(C165,product!$B$2:$B$20,product!$C$2:$C$20)</f>
        <v>Peripherals</v>
      </c>
      <c r="E165">
        <v>200</v>
      </c>
      <c r="F165">
        <v>2382</v>
      </c>
      <c r="G165">
        <v>476400</v>
      </c>
      <c r="H165">
        <v>44725</v>
      </c>
      <c r="I165" t="s">
        <v>237</v>
      </c>
      <c r="J165" t="s">
        <v>238</v>
      </c>
      <c r="K165" t="s">
        <v>235</v>
      </c>
      <c r="L165" t="s">
        <v>262</v>
      </c>
    </row>
    <row r="166" spans="1:12">
      <c r="A166">
        <v>491</v>
      </c>
      <c r="B166" t="s">
        <v>183</v>
      </c>
      <c r="C166" t="str">
        <f>_xlfn.XLOOKUP(B166,product!$A$2:$A$20,product!$B$2:$B$20)</f>
        <v>Mouse</v>
      </c>
      <c r="D166" t="str">
        <f>_xlfn.XLOOKUP(C166,product!$B$2:$B$20,product!$C$2:$C$20)</f>
        <v>Input Device</v>
      </c>
      <c r="E166">
        <v>281</v>
      </c>
      <c r="F166">
        <v>3657</v>
      </c>
      <c r="G166">
        <v>1027617</v>
      </c>
      <c r="H166">
        <v>44726</v>
      </c>
      <c r="I166" t="s">
        <v>90</v>
      </c>
      <c r="J166" t="s">
        <v>234</v>
      </c>
      <c r="K166" t="s">
        <v>239</v>
      </c>
      <c r="L166" t="s">
        <v>263</v>
      </c>
    </row>
    <row r="167" spans="1:12">
      <c r="A167">
        <v>407</v>
      </c>
      <c r="B167" t="s">
        <v>191</v>
      </c>
      <c r="C167" t="str">
        <f>_xlfn.XLOOKUP(B167,product!$A$2:$A$20,product!$B$2:$B$20)</f>
        <v>Graphics Card</v>
      </c>
      <c r="D167" t="str">
        <f>_xlfn.XLOOKUP(C167,product!$B$2:$B$20,product!$C$2:$C$20)</f>
        <v>Internal Hardware</v>
      </c>
      <c r="E167">
        <v>288</v>
      </c>
      <c r="F167">
        <v>4281</v>
      </c>
      <c r="G167">
        <v>1232928</v>
      </c>
      <c r="H167">
        <v>44727</v>
      </c>
      <c r="I167" t="s">
        <v>243</v>
      </c>
      <c r="J167" t="s">
        <v>238</v>
      </c>
      <c r="K167" t="s">
        <v>235</v>
      </c>
      <c r="L167" t="s">
        <v>236</v>
      </c>
    </row>
    <row r="168" spans="1:12">
      <c r="A168">
        <v>466</v>
      </c>
      <c r="B168" t="s">
        <v>215</v>
      </c>
      <c r="C168" t="str">
        <f>_xlfn.XLOOKUP(B168,product!$A$2:$A$20,product!$B$2:$B$20)</f>
        <v>Speakers</v>
      </c>
      <c r="D168" t="str">
        <f>_xlfn.XLOOKUP(C168,product!$B$2:$B$20,product!$C$2:$C$20)</f>
        <v>Audio</v>
      </c>
      <c r="E168">
        <v>272</v>
      </c>
      <c r="F168">
        <v>2337</v>
      </c>
      <c r="G168">
        <v>635664</v>
      </c>
      <c r="H168">
        <v>44728</v>
      </c>
      <c r="I168" t="s">
        <v>245</v>
      </c>
      <c r="J168" t="s">
        <v>234</v>
      </c>
      <c r="K168" t="s">
        <v>239</v>
      </c>
      <c r="L168" t="s">
        <v>240</v>
      </c>
    </row>
    <row r="169" spans="1:12">
      <c r="A169">
        <v>384</v>
      </c>
      <c r="B169" t="s">
        <v>198</v>
      </c>
      <c r="C169" t="str">
        <f>_xlfn.XLOOKUP(B169,product!$A$2:$A$20,product!$B$2:$B$20)</f>
        <v>HDMI Cable</v>
      </c>
      <c r="D169" t="str">
        <f>_xlfn.XLOOKUP(C169,product!$B$2:$B$20,product!$C$2:$C$20)</f>
        <v>Cables &amp; Connectors</v>
      </c>
      <c r="E169">
        <v>175</v>
      </c>
      <c r="F169">
        <v>2316</v>
      </c>
      <c r="G169">
        <v>405300</v>
      </c>
      <c r="H169">
        <v>44729</v>
      </c>
      <c r="I169" t="s">
        <v>247</v>
      </c>
      <c r="J169" t="s">
        <v>241</v>
      </c>
      <c r="K169" t="s">
        <v>235</v>
      </c>
      <c r="L169" t="s">
        <v>242</v>
      </c>
    </row>
    <row r="170" spans="1:12">
      <c r="A170">
        <v>276</v>
      </c>
      <c r="B170" t="s">
        <v>208</v>
      </c>
      <c r="C170" t="str">
        <f>_xlfn.XLOOKUP(B170,product!$A$2:$A$20,product!$B$2:$B$20)</f>
        <v>Headset</v>
      </c>
      <c r="D170" t="str">
        <f>_xlfn.XLOOKUP(C170,product!$B$2:$B$20,product!$C$2:$C$20)</f>
        <v>Audio</v>
      </c>
      <c r="E170">
        <v>234</v>
      </c>
      <c r="F170">
        <v>3767</v>
      </c>
      <c r="G170">
        <v>881478</v>
      </c>
      <c r="H170">
        <v>44730</v>
      </c>
      <c r="I170" t="s">
        <v>250</v>
      </c>
      <c r="J170" t="s">
        <v>234</v>
      </c>
      <c r="K170" t="s">
        <v>248</v>
      </c>
      <c r="L170" t="s">
        <v>244</v>
      </c>
    </row>
    <row r="171" spans="1:12">
      <c r="A171">
        <v>263</v>
      </c>
      <c r="B171" t="s">
        <v>187</v>
      </c>
      <c r="C171" t="str">
        <f>_xlfn.XLOOKUP(B171,product!$A$2:$A$20,product!$B$2:$B$20)</f>
        <v>USB Flash Drive</v>
      </c>
      <c r="D171" t="str">
        <f>_xlfn.XLOOKUP(C171,product!$B$2:$B$20,product!$C$2:$C$20)</f>
        <v>Storage</v>
      </c>
      <c r="E171">
        <v>145</v>
      </c>
      <c r="F171">
        <v>2412</v>
      </c>
      <c r="G171">
        <v>349740</v>
      </c>
      <c r="H171">
        <v>44731</v>
      </c>
      <c r="I171" t="s">
        <v>64</v>
      </c>
      <c r="J171" t="s">
        <v>241</v>
      </c>
      <c r="K171" t="s">
        <v>248</v>
      </c>
      <c r="L171" t="s">
        <v>246</v>
      </c>
    </row>
    <row r="172" spans="1:12">
      <c r="A172">
        <v>229</v>
      </c>
      <c r="B172" t="s">
        <v>206</v>
      </c>
      <c r="C172" t="str">
        <f>_xlfn.XLOOKUP(B172,product!$A$2:$A$20,product!$B$2:$B$20)</f>
        <v>Cooling Pad</v>
      </c>
      <c r="D172" t="str">
        <f>_xlfn.XLOOKUP(C172,product!$B$2:$B$20,product!$C$2:$C$20)</f>
        <v>Laptop Accessories</v>
      </c>
      <c r="E172">
        <v>280</v>
      </c>
      <c r="F172">
        <v>4949</v>
      </c>
      <c r="G172">
        <v>1385720</v>
      </c>
      <c r="H172">
        <v>44732</v>
      </c>
      <c r="I172" t="s">
        <v>254</v>
      </c>
      <c r="J172" t="s">
        <v>234</v>
      </c>
      <c r="K172" t="s">
        <v>248</v>
      </c>
      <c r="L172" t="s">
        <v>249</v>
      </c>
    </row>
    <row r="173" spans="1:12">
      <c r="A173">
        <v>489</v>
      </c>
      <c r="B173" t="s">
        <v>181</v>
      </c>
      <c r="C173" t="str">
        <f>_xlfn.XLOOKUP(B173,product!$A$2:$A$20,product!$B$2:$B$20)</f>
        <v>Keyboard</v>
      </c>
      <c r="D173" t="str">
        <f>_xlfn.XLOOKUP(C173,product!$B$2:$B$20,product!$C$2:$C$20)</f>
        <v>Input Device</v>
      </c>
      <c r="E173">
        <v>264</v>
      </c>
      <c r="F173">
        <v>3943</v>
      </c>
      <c r="G173">
        <v>1040952</v>
      </c>
      <c r="H173">
        <v>44733</v>
      </c>
      <c r="I173" t="s">
        <v>256</v>
      </c>
      <c r="J173" t="s">
        <v>234</v>
      </c>
      <c r="K173" t="s">
        <v>235</v>
      </c>
      <c r="L173" t="s">
        <v>251</v>
      </c>
    </row>
    <row r="174" spans="1:12">
      <c r="A174">
        <v>241</v>
      </c>
      <c r="B174" t="s">
        <v>215</v>
      </c>
      <c r="C174" t="str">
        <f>_xlfn.XLOOKUP(B174,product!$A$2:$A$20,product!$B$2:$B$20)</f>
        <v>Speakers</v>
      </c>
      <c r="D174" t="str">
        <f>_xlfn.XLOOKUP(C174,product!$B$2:$B$20,product!$C$2:$C$20)</f>
        <v>Audio</v>
      </c>
      <c r="E174">
        <v>253</v>
      </c>
      <c r="F174">
        <v>3538</v>
      </c>
      <c r="G174">
        <v>895114</v>
      </c>
      <c r="H174">
        <v>44734</v>
      </c>
      <c r="I174" t="s">
        <v>258</v>
      </c>
      <c r="J174" t="s">
        <v>241</v>
      </c>
      <c r="K174" t="s">
        <v>248</v>
      </c>
      <c r="L174" t="s">
        <v>252</v>
      </c>
    </row>
    <row r="175" spans="1:12">
      <c r="A175">
        <v>221</v>
      </c>
      <c r="B175" t="s">
        <v>208</v>
      </c>
      <c r="C175" t="str">
        <f>_xlfn.XLOOKUP(B175,product!$A$2:$A$20,product!$B$2:$B$20)</f>
        <v>Headset</v>
      </c>
      <c r="D175" t="str">
        <f>_xlfn.XLOOKUP(C175,product!$B$2:$B$20,product!$C$2:$C$20)</f>
        <v>Audio</v>
      </c>
      <c r="E175">
        <v>175</v>
      </c>
      <c r="F175">
        <v>4898</v>
      </c>
      <c r="G175">
        <v>857150</v>
      </c>
      <c r="H175">
        <v>44735</v>
      </c>
      <c r="I175" t="s">
        <v>260</v>
      </c>
      <c r="J175" t="s">
        <v>238</v>
      </c>
      <c r="K175" t="s">
        <v>248</v>
      </c>
      <c r="L175" t="s">
        <v>253</v>
      </c>
    </row>
    <row r="176" spans="1:12">
      <c r="A176">
        <v>361</v>
      </c>
      <c r="B176" t="s">
        <v>189</v>
      </c>
      <c r="C176" t="str">
        <f>_xlfn.XLOOKUP(B176,product!$A$2:$A$20,product!$B$2:$B$20)</f>
        <v>Monitor</v>
      </c>
      <c r="D176" t="str">
        <f>_xlfn.XLOOKUP(C176,product!$B$2:$B$20,product!$C$2:$C$20)</f>
        <v>Display</v>
      </c>
      <c r="E176">
        <v>247</v>
      </c>
      <c r="F176">
        <v>4086</v>
      </c>
      <c r="G176">
        <v>1009242</v>
      </c>
      <c r="H176">
        <v>44736</v>
      </c>
      <c r="I176" t="s">
        <v>233</v>
      </c>
      <c r="J176" t="s">
        <v>238</v>
      </c>
      <c r="K176" t="s">
        <v>235</v>
      </c>
      <c r="L176" t="s">
        <v>255</v>
      </c>
    </row>
    <row r="177" spans="1:12">
      <c r="A177">
        <v>439</v>
      </c>
      <c r="B177" t="s">
        <v>183</v>
      </c>
      <c r="C177" t="str">
        <f>_xlfn.XLOOKUP(B177,product!$A$2:$A$20,product!$B$2:$B$20)</f>
        <v>Mouse</v>
      </c>
      <c r="D177" t="str">
        <f>_xlfn.XLOOKUP(C177,product!$B$2:$B$20,product!$C$2:$C$20)</f>
        <v>Input Device</v>
      </c>
      <c r="E177">
        <v>115</v>
      </c>
      <c r="F177">
        <v>3394</v>
      </c>
      <c r="G177">
        <v>390310</v>
      </c>
      <c r="H177">
        <v>44737</v>
      </c>
      <c r="I177" t="s">
        <v>237</v>
      </c>
      <c r="J177" t="s">
        <v>238</v>
      </c>
      <c r="K177" t="s">
        <v>239</v>
      </c>
      <c r="L177" t="s">
        <v>257</v>
      </c>
    </row>
    <row r="178" spans="1:12">
      <c r="A178">
        <v>349</v>
      </c>
      <c r="B178" t="s">
        <v>213</v>
      </c>
      <c r="C178" t="str">
        <f>_xlfn.XLOOKUP(B178,product!$A$2:$A$20,product!$B$2:$B$20)</f>
        <v>Scanner</v>
      </c>
      <c r="D178" t="str">
        <f>_xlfn.XLOOKUP(C178,product!$B$2:$B$20,product!$C$2:$C$20)</f>
        <v>Peripherals</v>
      </c>
      <c r="E178">
        <v>297</v>
      </c>
      <c r="F178">
        <v>2879</v>
      </c>
      <c r="G178">
        <v>855063</v>
      </c>
      <c r="H178">
        <v>44738</v>
      </c>
      <c r="I178" t="s">
        <v>90</v>
      </c>
      <c r="J178" t="s">
        <v>238</v>
      </c>
      <c r="K178" t="s">
        <v>248</v>
      </c>
      <c r="L178" t="s">
        <v>259</v>
      </c>
    </row>
    <row r="179" spans="1:12">
      <c r="A179">
        <v>261</v>
      </c>
      <c r="B179" t="s">
        <v>198</v>
      </c>
      <c r="C179" t="str">
        <f>_xlfn.XLOOKUP(B179,product!$A$2:$A$20,product!$B$2:$B$20)</f>
        <v>HDMI Cable</v>
      </c>
      <c r="D179" t="str">
        <f>_xlfn.XLOOKUP(C179,product!$B$2:$B$20,product!$C$2:$C$20)</f>
        <v>Cables &amp; Connectors</v>
      </c>
      <c r="E179">
        <v>101</v>
      </c>
      <c r="F179">
        <v>4665</v>
      </c>
      <c r="G179">
        <v>471165</v>
      </c>
      <c r="H179">
        <v>44739</v>
      </c>
      <c r="I179" t="s">
        <v>243</v>
      </c>
      <c r="J179" t="s">
        <v>238</v>
      </c>
      <c r="K179" t="s">
        <v>235</v>
      </c>
      <c r="L179" t="s">
        <v>261</v>
      </c>
    </row>
    <row r="180" spans="1:12">
      <c r="A180">
        <v>316</v>
      </c>
      <c r="B180" t="s">
        <v>201</v>
      </c>
      <c r="C180" t="str">
        <f>_xlfn.XLOOKUP(B180,product!$A$2:$A$20,product!$B$2:$B$20)</f>
        <v>Webcam</v>
      </c>
      <c r="D180" t="str">
        <f>_xlfn.XLOOKUP(C180,product!$B$2:$B$20,product!$C$2:$C$20)</f>
        <v>Peripherals</v>
      </c>
      <c r="E180">
        <v>234</v>
      </c>
      <c r="F180">
        <v>2355</v>
      </c>
      <c r="G180">
        <v>551070</v>
      </c>
      <c r="H180">
        <v>44740</v>
      </c>
      <c r="I180" t="s">
        <v>245</v>
      </c>
      <c r="J180" t="s">
        <v>241</v>
      </c>
      <c r="K180" t="s">
        <v>235</v>
      </c>
      <c r="L180" t="s">
        <v>262</v>
      </c>
    </row>
    <row r="181" spans="1:12">
      <c r="A181">
        <v>424</v>
      </c>
      <c r="B181" t="s">
        <v>222</v>
      </c>
      <c r="C181" t="str">
        <f>_xlfn.XLOOKUP(B181,product!$A$2:$A$20,product!$B$2:$B$20)</f>
        <v>Laptop Bag</v>
      </c>
      <c r="D181" t="str">
        <f>_xlfn.XLOOKUP(C181,product!$B$2:$B$20,product!$C$2:$C$20)</f>
        <v>Laptop Accessories</v>
      </c>
      <c r="E181">
        <v>253</v>
      </c>
      <c r="F181">
        <v>4743</v>
      </c>
      <c r="G181">
        <v>1199979</v>
      </c>
      <c r="H181">
        <v>44741</v>
      </c>
      <c r="I181" t="s">
        <v>247</v>
      </c>
      <c r="J181" t="s">
        <v>238</v>
      </c>
      <c r="K181" t="s">
        <v>239</v>
      </c>
      <c r="L181" t="s">
        <v>263</v>
      </c>
    </row>
    <row r="182" spans="1:12">
      <c r="A182">
        <v>419</v>
      </c>
      <c r="B182" t="s">
        <v>206</v>
      </c>
      <c r="C182" t="str">
        <f>_xlfn.XLOOKUP(B182,product!$A$2:$A$20,product!$B$2:$B$20)</f>
        <v>Cooling Pad</v>
      </c>
      <c r="D182" t="str">
        <f>_xlfn.XLOOKUP(C182,product!$B$2:$B$20,product!$C$2:$C$20)</f>
        <v>Laptop Accessories</v>
      </c>
      <c r="E182">
        <v>182</v>
      </c>
      <c r="F182">
        <v>3205</v>
      </c>
      <c r="G182">
        <v>583310</v>
      </c>
      <c r="H182">
        <v>44742</v>
      </c>
      <c r="I182" t="s">
        <v>250</v>
      </c>
      <c r="J182" t="s">
        <v>241</v>
      </c>
      <c r="K182" t="s">
        <v>235</v>
      </c>
      <c r="L182" t="s">
        <v>236</v>
      </c>
    </row>
    <row r="183" spans="1:12">
      <c r="A183">
        <v>416</v>
      </c>
      <c r="B183" t="s">
        <v>196</v>
      </c>
      <c r="C183" t="str">
        <f>_xlfn.XLOOKUP(B183,product!$A$2:$A$20,product!$B$2:$B$20)</f>
        <v>SSD</v>
      </c>
      <c r="D183" t="str">
        <f>_xlfn.XLOOKUP(C183,product!$B$2:$B$20,product!$C$2:$C$20)</f>
        <v>Internal Hardware</v>
      </c>
      <c r="E183">
        <v>242</v>
      </c>
      <c r="F183">
        <v>4485</v>
      </c>
      <c r="G183">
        <v>1085370</v>
      </c>
      <c r="H183">
        <v>44743</v>
      </c>
      <c r="I183" t="s">
        <v>64</v>
      </c>
      <c r="J183" t="s">
        <v>241</v>
      </c>
      <c r="K183" t="s">
        <v>248</v>
      </c>
      <c r="L183" t="s">
        <v>240</v>
      </c>
    </row>
    <row r="184" spans="1:12">
      <c r="A184">
        <v>214</v>
      </c>
      <c r="B184" t="s">
        <v>198</v>
      </c>
      <c r="C184" t="str">
        <f>_xlfn.XLOOKUP(B184,product!$A$2:$A$20,product!$B$2:$B$20)</f>
        <v>HDMI Cable</v>
      </c>
      <c r="D184" t="str">
        <f>_xlfn.XLOOKUP(C184,product!$B$2:$B$20,product!$C$2:$C$20)</f>
        <v>Cables &amp; Connectors</v>
      </c>
      <c r="E184">
        <v>194</v>
      </c>
      <c r="F184">
        <v>3607</v>
      </c>
      <c r="G184">
        <v>699758</v>
      </c>
      <c r="H184">
        <v>44744</v>
      </c>
      <c r="I184" t="s">
        <v>245</v>
      </c>
      <c r="J184" t="s">
        <v>234</v>
      </c>
      <c r="K184" t="s">
        <v>248</v>
      </c>
      <c r="L184" t="s">
        <v>242</v>
      </c>
    </row>
    <row r="185" spans="1:12">
      <c r="A185">
        <v>487</v>
      </c>
      <c r="B185" t="s">
        <v>201</v>
      </c>
      <c r="C185" t="str">
        <f>_xlfn.XLOOKUP(B185,product!$A$2:$A$20,product!$B$2:$B$20)</f>
        <v>Webcam</v>
      </c>
      <c r="D185" t="str">
        <f>_xlfn.XLOOKUP(C185,product!$B$2:$B$20,product!$C$2:$C$20)</f>
        <v>Peripherals</v>
      </c>
      <c r="E185">
        <v>245</v>
      </c>
      <c r="F185">
        <v>2712</v>
      </c>
      <c r="G185">
        <v>664440</v>
      </c>
      <c r="H185">
        <v>44745</v>
      </c>
      <c r="I185" t="s">
        <v>247</v>
      </c>
      <c r="J185" t="s">
        <v>238</v>
      </c>
      <c r="K185" t="s">
        <v>248</v>
      </c>
      <c r="L185" t="s">
        <v>244</v>
      </c>
    </row>
    <row r="186" spans="1:12">
      <c r="A186">
        <v>438</v>
      </c>
      <c r="B186" t="s">
        <v>181</v>
      </c>
      <c r="C186" t="str">
        <f>_xlfn.XLOOKUP(B186,product!$A$2:$A$20,product!$B$2:$B$20)</f>
        <v>Keyboard</v>
      </c>
      <c r="D186" t="str">
        <f>_xlfn.XLOOKUP(C186,product!$B$2:$B$20,product!$C$2:$C$20)</f>
        <v>Input Device</v>
      </c>
      <c r="E186">
        <v>242</v>
      </c>
      <c r="F186">
        <v>3451</v>
      </c>
      <c r="G186">
        <v>835142</v>
      </c>
      <c r="H186">
        <v>44746</v>
      </c>
      <c r="I186" t="s">
        <v>250</v>
      </c>
      <c r="J186" t="s">
        <v>241</v>
      </c>
      <c r="K186" t="s">
        <v>239</v>
      </c>
      <c r="L186" t="s">
        <v>246</v>
      </c>
    </row>
    <row r="187" spans="1:12">
      <c r="A187">
        <v>477</v>
      </c>
      <c r="B187" t="s">
        <v>211</v>
      </c>
      <c r="C187" t="str">
        <f>_xlfn.XLOOKUP(B187,product!$A$2:$A$20,product!$B$2:$B$20)</f>
        <v>Printer</v>
      </c>
      <c r="D187" t="str">
        <f>_xlfn.XLOOKUP(C187,product!$B$2:$B$20,product!$C$2:$C$20)</f>
        <v>Peripherals</v>
      </c>
      <c r="E187">
        <v>143</v>
      </c>
      <c r="F187">
        <v>2167</v>
      </c>
      <c r="G187">
        <v>309881</v>
      </c>
      <c r="H187">
        <v>44747</v>
      </c>
      <c r="I187" t="s">
        <v>64</v>
      </c>
      <c r="J187" t="s">
        <v>238</v>
      </c>
      <c r="K187" t="s">
        <v>248</v>
      </c>
      <c r="L187" t="s">
        <v>249</v>
      </c>
    </row>
    <row r="188" spans="1:12">
      <c r="A188">
        <v>305</v>
      </c>
      <c r="B188" t="s">
        <v>198</v>
      </c>
      <c r="C188" t="str">
        <f>_xlfn.XLOOKUP(B188,product!$A$2:$A$20,product!$B$2:$B$20)</f>
        <v>HDMI Cable</v>
      </c>
      <c r="D188" t="str">
        <f>_xlfn.XLOOKUP(C188,product!$B$2:$B$20,product!$C$2:$C$20)</f>
        <v>Cables &amp; Connectors</v>
      </c>
      <c r="E188">
        <v>121</v>
      </c>
      <c r="F188">
        <v>4811</v>
      </c>
      <c r="G188">
        <v>582131</v>
      </c>
      <c r="H188">
        <v>44748</v>
      </c>
      <c r="I188" t="s">
        <v>59</v>
      </c>
      <c r="J188" t="s">
        <v>241</v>
      </c>
      <c r="K188" t="s">
        <v>239</v>
      </c>
      <c r="L188" t="s">
        <v>251</v>
      </c>
    </row>
    <row r="189" spans="1:12">
      <c r="A189">
        <v>287</v>
      </c>
      <c r="B189" t="s">
        <v>206</v>
      </c>
      <c r="C189" t="str">
        <f>_xlfn.XLOOKUP(B189,product!$A$2:$A$20,product!$B$2:$B$20)</f>
        <v>Cooling Pad</v>
      </c>
      <c r="D189" t="str">
        <f>_xlfn.XLOOKUP(C189,product!$B$2:$B$20,product!$C$2:$C$20)</f>
        <v>Laptop Accessories</v>
      </c>
      <c r="E189">
        <v>153</v>
      </c>
      <c r="F189">
        <v>2090</v>
      </c>
      <c r="G189">
        <v>319770</v>
      </c>
      <c r="H189">
        <v>44749</v>
      </c>
      <c r="I189" t="s">
        <v>254</v>
      </c>
      <c r="J189" t="s">
        <v>234</v>
      </c>
      <c r="K189" t="s">
        <v>235</v>
      </c>
      <c r="L189" t="s">
        <v>252</v>
      </c>
    </row>
    <row r="190" spans="1:12">
      <c r="A190">
        <v>471</v>
      </c>
      <c r="B190" t="s">
        <v>213</v>
      </c>
      <c r="C190" t="str">
        <f>_xlfn.XLOOKUP(B190,product!$A$2:$A$20,product!$B$2:$B$20)</f>
        <v>Scanner</v>
      </c>
      <c r="D190" t="str">
        <f>_xlfn.XLOOKUP(C190,product!$B$2:$B$20,product!$C$2:$C$20)</f>
        <v>Peripherals</v>
      </c>
      <c r="E190">
        <v>184</v>
      </c>
      <c r="F190">
        <v>2832</v>
      </c>
      <c r="G190">
        <v>521088</v>
      </c>
      <c r="H190">
        <v>44750</v>
      </c>
      <c r="I190" t="s">
        <v>256</v>
      </c>
      <c r="J190" t="s">
        <v>234</v>
      </c>
      <c r="K190" t="s">
        <v>235</v>
      </c>
      <c r="L190" t="s">
        <v>253</v>
      </c>
    </row>
    <row r="191" spans="1:12">
      <c r="A191">
        <v>442</v>
      </c>
      <c r="B191" t="s">
        <v>181</v>
      </c>
      <c r="C191" t="str">
        <f>_xlfn.XLOOKUP(B191,product!$A$2:$A$20,product!$B$2:$B$20)</f>
        <v>Keyboard</v>
      </c>
      <c r="D191" t="str">
        <f>_xlfn.XLOOKUP(C191,product!$B$2:$B$20,product!$C$2:$C$20)</f>
        <v>Input Device</v>
      </c>
      <c r="E191">
        <v>177</v>
      </c>
      <c r="F191">
        <v>3152</v>
      </c>
      <c r="G191">
        <v>557904</v>
      </c>
      <c r="H191">
        <v>44751</v>
      </c>
      <c r="I191" t="s">
        <v>258</v>
      </c>
      <c r="J191" t="s">
        <v>241</v>
      </c>
      <c r="K191" t="s">
        <v>235</v>
      </c>
      <c r="L191" t="s">
        <v>255</v>
      </c>
    </row>
    <row r="192" spans="1:12">
      <c r="A192">
        <v>259</v>
      </c>
      <c r="B192" t="s">
        <v>206</v>
      </c>
      <c r="C192" t="str">
        <f>_xlfn.XLOOKUP(B192,product!$A$2:$A$20,product!$B$2:$B$20)</f>
        <v>Cooling Pad</v>
      </c>
      <c r="D192" t="str">
        <f>_xlfn.XLOOKUP(C192,product!$B$2:$B$20,product!$C$2:$C$20)</f>
        <v>Laptop Accessories</v>
      </c>
      <c r="E192">
        <v>146</v>
      </c>
      <c r="F192">
        <v>2076</v>
      </c>
      <c r="G192">
        <v>303096</v>
      </c>
      <c r="H192">
        <v>44752</v>
      </c>
      <c r="I192" t="s">
        <v>260</v>
      </c>
      <c r="J192" t="s">
        <v>241</v>
      </c>
      <c r="K192" t="s">
        <v>248</v>
      </c>
      <c r="L192" t="s">
        <v>257</v>
      </c>
    </row>
    <row r="193" spans="1:12">
      <c r="A193">
        <v>407</v>
      </c>
      <c r="B193" t="s">
        <v>211</v>
      </c>
      <c r="C193" t="str">
        <f>_xlfn.XLOOKUP(B193,product!$A$2:$A$20,product!$B$2:$B$20)</f>
        <v>Printer</v>
      </c>
      <c r="D193" t="str">
        <f>_xlfn.XLOOKUP(C193,product!$B$2:$B$20,product!$C$2:$C$20)</f>
        <v>Peripherals</v>
      </c>
      <c r="E193">
        <v>135</v>
      </c>
      <c r="F193">
        <v>4612</v>
      </c>
      <c r="G193">
        <v>622620</v>
      </c>
      <c r="H193">
        <v>44753</v>
      </c>
      <c r="I193" t="s">
        <v>233</v>
      </c>
      <c r="J193" t="s">
        <v>234</v>
      </c>
      <c r="K193" t="s">
        <v>248</v>
      </c>
      <c r="L193" t="s">
        <v>259</v>
      </c>
    </row>
    <row r="194" spans="1:12">
      <c r="A194">
        <v>472</v>
      </c>
      <c r="B194" t="s">
        <v>194</v>
      </c>
      <c r="C194" t="str">
        <f>_xlfn.XLOOKUP(B194,product!$A$2:$A$20,product!$B$2:$B$20)</f>
        <v>RAM Module</v>
      </c>
      <c r="D194" t="str">
        <f>_xlfn.XLOOKUP(C194,product!$B$2:$B$20,product!$C$2:$C$20)</f>
        <v>Internal Hardware</v>
      </c>
      <c r="E194">
        <v>169</v>
      </c>
      <c r="F194">
        <v>4048</v>
      </c>
      <c r="G194">
        <v>684112</v>
      </c>
      <c r="H194">
        <v>44754</v>
      </c>
      <c r="I194" t="s">
        <v>237</v>
      </c>
      <c r="J194" t="s">
        <v>234</v>
      </c>
      <c r="K194" t="s">
        <v>239</v>
      </c>
      <c r="L194" t="s">
        <v>261</v>
      </c>
    </row>
    <row r="195" spans="1:12">
      <c r="A195">
        <v>419</v>
      </c>
      <c r="B195" t="s">
        <v>194</v>
      </c>
      <c r="C195" t="str">
        <f>_xlfn.XLOOKUP(B195,product!$A$2:$A$20,product!$B$2:$B$20)</f>
        <v>RAM Module</v>
      </c>
      <c r="D195" t="str">
        <f>_xlfn.XLOOKUP(C195,product!$B$2:$B$20,product!$C$2:$C$20)</f>
        <v>Internal Hardware</v>
      </c>
      <c r="E195">
        <v>133</v>
      </c>
      <c r="F195">
        <v>2254</v>
      </c>
      <c r="G195">
        <v>299782</v>
      </c>
      <c r="H195">
        <v>44755</v>
      </c>
      <c r="I195" t="s">
        <v>90</v>
      </c>
      <c r="J195" t="s">
        <v>238</v>
      </c>
      <c r="K195" t="s">
        <v>235</v>
      </c>
      <c r="L195" t="s">
        <v>262</v>
      </c>
    </row>
    <row r="196" spans="1:12">
      <c r="A196">
        <v>394</v>
      </c>
      <c r="B196" t="s">
        <v>203</v>
      </c>
      <c r="C196" t="str">
        <f>_xlfn.XLOOKUP(B196,product!$A$2:$A$20,product!$B$2:$B$20)</f>
        <v>Laptop Stand</v>
      </c>
      <c r="D196" t="str">
        <f>_xlfn.XLOOKUP(C196,product!$B$2:$B$20,product!$C$2:$C$20)</f>
        <v>Laptop Accessories</v>
      </c>
      <c r="E196">
        <v>161</v>
      </c>
      <c r="F196">
        <v>4125</v>
      </c>
      <c r="G196">
        <v>664125</v>
      </c>
      <c r="H196">
        <v>44756</v>
      </c>
      <c r="I196" t="s">
        <v>243</v>
      </c>
      <c r="J196" t="s">
        <v>238</v>
      </c>
      <c r="K196" t="s">
        <v>235</v>
      </c>
      <c r="L196" t="s">
        <v>263</v>
      </c>
    </row>
    <row r="197" spans="1:12">
      <c r="A197">
        <v>472</v>
      </c>
      <c r="B197" t="s">
        <v>183</v>
      </c>
      <c r="C197" t="str">
        <f>_xlfn.XLOOKUP(B197,product!$A$2:$A$20,product!$B$2:$B$20)</f>
        <v>Mouse</v>
      </c>
      <c r="D197" t="str">
        <f>_xlfn.XLOOKUP(C197,product!$B$2:$B$20,product!$C$2:$C$20)</f>
        <v>Input Device</v>
      </c>
      <c r="E197">
        <v>226</v>
      </c>
      <c r="F197">
        <v>3738</v>
      </c>
      <c r="G197">
        <v>844788</v>
      </c>
      <c r="H197">
        <v>44757</v>
      </c>
      <c r="I197" t="s">
        <v>245</v>
      </c>
      <c r="J197" t="s">
        <v>238</v>
      </c>
      <c r="K197" t="s">
        <v>248</v>
      </c>
      <c r="L197" t="s">
        <v>236</v>
      </c>
    </row>
    <row r="198" spans="1:12">
      <c r="A198">
        <v>326</v>
      </c>
      <c r="B198" t="s">
        <v>208</v>
      </c>
      <c r="C198" t="str">
        <f>_xlfn.XLOOKUP(B198,product!$A$2:$A$20,product!$B$2:$B$20)</f>
        <v>Headset</v>
      </c>
      <c r="D198" t="str">
        <f>_xlfn.XLOOKUP(C198,product!$B$2:$B$20,product!$C$2:$C$20)</f>
        <v>Audio</v>
      </c>
      <c r="E198">
        <v>129</v>
      </c>
      <c r="F198">
        <v>2430</v>
      </c>
      <c r="G198">
        <v>313470</v>
      </c>
      <c r="H198">
        <v>44758</v>
      </c>
      <c r="I198" t="s">
        <v>247</v>
      </c>
      <c r="J198" t="s">
        <v>238</v>
      </c>
      <c r="K198" t="s">
        <v>235</v>
      </c>
      <c r="L198" t="s">
        <v>240</v>
      </c>
    </row>
    <row r="199" spans="1:12">
      <c r="A199">
        <v>205</v>
      </c>
      <c r="B199" t="s">
        <v>208</v>
      </c>
      <c r="C199" t="str">
        <f>_xlfn.XLOOKUP(B199,product!$A$2:$A$20,product!$B$2:$B$20)</f>
        <v>Headset</v>
      </c>
      <c r="D199" t="str">
        <f>_xlfn.XLOOKUP(C199,product!$B$2:$B$20,product!$C$2:$C$20)</f>
        <v>Audio</v>
      </c>
      <c r="E199">
        <v>100</v>
      </c>
      <c r="F199">
        <v>4879</v>
      </c>
      <c r="G199">
        <v>487900</v>
      </c>
      <c r="H199">
        <v>44759</v>
      </c>
      <c r="I199" t="s">
        <v>250</v>
      </c>
      <c r="J199" t="s">
        <v>234</v>
      </c>
      <c r="K199" t="s">
        <v>235</v>
      </c>
      <c r="L199" t="s">
        <v>242</v>
      </c>
    </row>
    <row r="200" spans="1:12">
      <c r="A200">
        <v>259</v>
      </c>
      <c r="B200" t="s">
        <v>208</v>
      </c>
      <c r="C200" t="str">
        <f>_xlfn.XLOOKUP(B200,product!$A$2:$A$20,product!$B$2:$B$20)</f>
        <v>Headset</v>
      </c>
      <c r="D200" t="str">
        <f>_xlfn.XLOOKUP(C200,product!$B$2:$B$20,product!$C$2:$C$20)</f>
        <v>Audio</v>
      </c>
      <c r="E200">
        <v>139</v>
      </c>
      <c r="F200">
        <v>2717</v>
      </c>
      <c r="G200">
        <v>377663</v>
      </c>
      <c r="H200">
        <v>44760</v>
      </c>
      <c r="I200" t="s">
        <v>64</v>
      </c>
      <c r="J200" t="s">
        <v>241</v>
      </c>
      <c r="K200" t="s">
        <v>248</v>
      </c>
      <c r="L200" t="s">
        <v>244</v>
      </c>
    </row>
    <row r="201" spans="1:12">
      <c r="A201">
        <v>207</v>
      </c>
      <c r="B201" t="s">
        <v>183</v>
      </c>
      <c r="C201" t="str">
        <f>_xlfn.XLOOKUP(B201,product!$A$2:$A$20,product!$B$2:$B$20)</f>
        <v>Mouse</v>
      </c>
      <c r="D201" t="str">
        <f>_xlfn.XLOOKUP(C201,product!$B$2:$B$20,product!$C$2:$C$20)</f>
        <v>Input Device</v>
      </c>
      <c r="E201">
        <v>120</v>
      </c>
      <c r="F201">
        <v>2093</v>
      </c>
      <c r="G201">
        <v>251160</v>
      </c>
      <c r="H201">
        <v>44761</v>
      </c>
      <c r="I201" t="s">
        <v>254</v>
      </c>
      <c r="J201" t="s">
        <v>241</v>
      </c>
      <c r="K201" t="s">
        <v>235</v>
      </c>
      <c r="L201" t="s">
        <v>246</v>
      </c>
    </row>
    <row r="202" spans="1:12">
      <c r="A202">
        <v>376</v>
      </c>
      <c r="B202" t="s">
        <v>203</v>
      </c>
      <c r="C202" t="str">
        <f>_xlfn.XLOOKUP(B202,product!$A$2:$A$20,product!$B$2:$B$20)</f>
        <v>Laptop Stand</v>
      </c>
      <c r="D202" t="str">
        <f>_xlfn.XLOOKUP(C202,product!$B$2:$B$20,product!$C$2:$C$20)</f>
        <v>Laptop Accessories</v>
      </c>
      <c r="E202">
        <v>187</v>
      </c>
      <c r="F202">
        <v>2215</v>
      </c>
      <c r="G202">
        <v>414205</v>
      </c>
      <c r="H202">
        <v>44762</v>
      </c>
      <c r="I202" t="s">
        <v>256</v>
      </c>
      <c r="J202" t="s">
        <v>234</v>
      </c>
      <c r="K202" t="s">
        <v>235</v>
      </c>
      <c r="L202" t="s">
        <v>249</v>
      </c>
    </row>
    <row r="203" spans="1:12">
      <c r="A203">
        <v>421</v>
      </c>
      <c r="B203" t="s">
        <v>196</v>
      </c>
      <c r="C203" t="str">
        <f>_xlfn.XLOOKUP(B203,product!$A$2:$A$20,product!$B$2:$B$20)</f>
        <v>SSD</v>
      </c>
      <c r="D203" t="str">
        <f>_xlfn.XLOOKUP(C203,product!$B$2:$B$20,product!$C$2:$C$20)</f>
        <v>Internal Hardware</v>
      </c>
      <c r="E203">
        <v>204</v>
      </c>
      <c r="F203">
        <v>3371</v>
      </c>
      <c r="G203">
        <v>687684</v>
      </c>
      <c r="H203">
        <v>44763</v>
      </c>
      <c r="I203" t="s">
        <v>258</v>
      </c>
      <c r="J203" t="s">
        <v>238</v>
      </c>
      <c r="K203" t="s">
        <v>239</v>
      </c>
      <c r="L203" t="s">
        <v>251</v>
      </c>
    </row>
    <row r="204" spans="1:12">
      <c r="A204">
        <v>340</v>
      </c>
      <c r="B204" t="s">
        <v>217</v>
      </c>
      <c r="C204" t="str">
        <f>_xlfn.XLOOKUP(B204,product!$A$2:$A$20,product!$B$2:$B$20)</f>
        <v>Wireless Router</v>
      </c>
      <c r="D204" t="str">
        <f>_xlfn.XLOOKUP(C204,product!$B$2:$B$20,product!$C$2:$C$20)</f>
        <v>Network</v>
      </c>
      <c r="E204">
        <v>210</v>
      </c>
      <c r="F204">
        <v>2223</v>
      </c>
      <c r="G204">
        <v>466830</v>
      </c>
      <c r="H204">
        <v>44764</v>
      </c>
      <c r="I204" t="s">
        <v>260</v>
      </c>
      <c r="J204" t="s">
        <v>241</v>
      </c>
      <c r="K204" t="s">
        <v>235</v>
      </c>
      <c r="L204" t="s">
        <v>252</v>
      </c>
    </row>
    <row r="205" spans="1:12">
      <c r="A205">
        <v>341</v>
      </c>
      <c r="B205" t="s">
        <v>189</v>
      </c>
      <c r="C205" t="str">
        <f>_xlfn.XLOOKUP(B205,product!$A$2:$A$20,product!$B$2:$B$20)</f>
        <v>Monitor</v>
      </c>
      <c r="D205" t="str">
        <f>_xlfn.XLOOKUP(C205,product!$B$2:$B$20,product!$C$2:$C$20)</f>
        <v>Display</v>
      </c>
      <c r="E205">
        <v>199</v>
      </c>
      <c r="F205">
        <v>2938</v>
      </c>
      <c r="G205">
        <v>584662</v>
      </c>
      <c r="H205">
        <v>44765</v>
      </c>
      <c r="I205" t="s">
        <v>233</v>
      </c>
      <c r="J205" t="s">
        <v>234</v>
      </c>
      <c r="K205" t="s">
        <v>239</v>
      </c>
      <c r="L205" t="s">
        <v>253</v>
      </c>
    </row>
    <row r="206" spans="1:12">
      <c r="A206">
        <v>347</v>
      </c>
      <c r="B206" t="s">
        <v>203</v>
      </c>
      <c r="C206" t="str">
        <f>_xlfn.XLOOKUP(B206,product!$A$2:$A$20,product!$B$2:$B$20)</f>
        <v>Laptop Stand</v>
      </c>
      <c r="D206" t="str">
        <f>_xlfn.XLOOKUP(C206,product!$B$2:$B$20,product!$C$2:$C$20)</f>
        <v>Laptop Accessories</v>
      </c>
      <c r="E206">
        <v>104</v>
      </c>
      <c r="F206">
        <v>2782</v>
      </c>
      <c r="G206">
        <v>289328</v>
      </c>
      <c r="H206">
        <v>44766</v>
      </c>
      <c r="I206" t="s">
        <v>237</v>
      </c>
      <c r="J206" t="s">
        <v>234</v>
      </c>
      <c r="K206" t="s">
        <v>235</v>
      </c>
      <c r="L206" t="s">
        <v>255</v>
      </c>
    </row>
    <row r="207" spans="1:12">
      <c r="A207">
        <v>345</v>
      </c>
      <c r="B207" t="s">
        <v>191</v>
      </c>
      <c r="C207" t="str">
        <f>_xlfn.XLOOKUP(B207,product!$A$2:$A$20,product!$B$2:$B$20)</f>
        <v>Graphics Card</v>
      </c>
      <c r="D207" t="str">
        <f>_xlfn.XLOOKUP(C207,product!$B$2:$B$20,product!$C$2:$C$20)</f>
        <v>Internal Hardware</v>
      </c>
      <c r="E207">
        <v>206</v>
      </c>
      <c r="F207">
        <v>2624</v>
      </c>
      <c r="G207">
        <v>540544</v>
      </c>
      <c r="H207">
        <v>44767</v>
      </c>
      <c r="I207" t="s">
        <v>90</v>
      </c>
      <c r="J207" t="s">
        <v>238</v>
      </c>
      <c r="K207" t="s">
        <v>248</v>
      </c>
      <c r="L207" t="s">
        <v>257</v>
      </c>
    </row>
    <row r="208" spans="1:12">
      <c r="A208">
        <v>205</v>
      </c>
      <c r="B208" t="s">
        <v>181</v>
      </c>
      <c r="C208" t="str">
        <f>_xlfn.XLOOKUP(B208,product!$A$2:$A$20,product!$B$2:$B$20)</f>
        <v>Keyboard</v>
      </c>
      <c r="D208" t="str">
        <f>_xlfn.XLOOKUP(C208,product!$B$2:$B$20,product!$C$2:$C$20)</f>
        <v>Input Device</v>
      </c>
      <c r="E208">
        <v>264</v>
      </c>
      <c r="F208">
        <v>4391</v>
      </c>
      <c r="G208">
        <v>1159224</v>
      </c>
      <c r="H208">
        <v>44768</v>
      </c>
      <c r="I208" t="s">
        <v>243</v>
      </c>
      <c r="J208" t="s">
        <v>234</v>
      </c>
      <c r="K208" t="s">
        <v>239</v>
      </c>
      <c r="L208" t="s">
        <v>259</v>
      </c>
    </row>
    <row r="209" spans="1:12">
      <c r="A209">
        <v>473</v>
      </c>
      <c r="B209" t="s">
        <v>189</v>
      </c>
      <c r="C209" t="str">
        <f>_xlfn.XLOOKUP(B209,product!$A$2:$A$20,product!$B$2:$B$20)</f>
        <v>Monitor</v>
      </c>
      <c r="D209" t="str">
        <f>_xlfn.XLOOKUP(C209,product!$B$2:$B$20,product!$C$2:$C$20)</f>
        <v>Display</v>
      </c>
      <c r="E209">
        <v>201</v>
      </c>
      <c r="F209">
        <v>3315</v>
      </c>
      <c r="G209">
        <v>666315</v>
      </c>
      <c r="H209">
        <v>44769</v>
      </c>
      <c r="I209" t="s">
        <v>245</v>
      </c>
      <c r="J209" t="s">
        <v>238</v>
      </c>
      <c r="K209" t="s">
        <v>235</v>
      </c>
      <c r="L209" t="s">
        <v>261</v>
      </c>
    </row>
    <row r="210" spans="1:12">
      <c r="A210">
        <v>362</v>
      </c>
      <c r="B210" t="s">
        <v>183</v>
      </c>
      <c r="C210" t="str">
        <f>_xlfn.XLOOKUP(B210,product!$A$2:$A$20,product!$B$2:$B$20)</f>
        <v>Mouse</v>
      </c>
      <c r="D210" t="str">
        <f>_xlfn.XLOOKUP(C210,product!$B$2:$B$20,product!$C$2:$C$20)</f>
        <v>Input Device</v>
      </c>
      <c r="E210">
        <v>160</v>
      </c>
      <c r="F210">
        <v>4184</v>
      </c>
      <c r="G210">
        <v>669440</v>
      </c>
      <c r="H210">
        <v>44770</v>
      </c>
      <c r="I210" t="s">
        <v>247</v>
      </c>
      <c r="J210" t="s">
        <v>234</v>
      </c>
      <c r="K210" t="s">
        <v>248</v>
      </c>
      <c r="L210" t="s">
        <v>262</v>
      </c>
    </row>
    <row r="211" spans="1:12">
      <c r="A211">
        <v>369</v>
      </c>
      <c r="B211" t="s">
        <v>208</v>
      </c>
      <c r="C211" t="str">
        <f>_xlfn.XLOOKUP(B211,product!$A$2:$A$20,product!$B$2:$B$20)</f>
        <v>Headset</v>
      </c>
      <c r="D211" t="str">
        <f>_xlfn.XLOOKUP(C211,product!$B$2:$B$20,product!$C$2:$C$20)</f>
        <v>Audio</v>
      </c>
      <c r="E211">
        <v>193</v>
      </c>
      <c r="F211">
        <v>4513</v>
      </c>
      <c r="G211">
        <v>871009</v>
      </c>
      <c r="H211">
        <v>44771</v>
      </c>
      <c r="I211" t="s">
        <v>250</v>
      </c>
      <c r="J211" t="s">
        <v>234</v>
      </c>
      <c r="K211" t="s">
        <v>239</v>
      </c>
      <c r="L211" t="s">
        <v>263</v>
      </c>
    </row>
    <row r="212" spans="1:12">
      <c r="A212">
        <v>443</v>
      </c>
      <c r="B212" t="s">
        <v>184</v>
      </c>
      <c r="C212" t="str">
        <f>_xlfn.XLOOKUP(B212,product!$A$2:$A$20,product!$B$2:$B$20)</f>
        <v>Hard Drive</v>
      </c>
      <c r="D212" t="str">
        <f>_xlfn.XLOOKUP(C212,product!$B$2:$B$20,product!$C$2:$C$20)</f>
        <v>Storage</v>
      </c>
      <c r="E212">
        <v>104</v>
      </c>
      <c r="F212">
        <v>2467</v>
      </c>
      <c r="G212">
        <v>256568</v>
      </c>
      <c r="H212">
        <v>44772</v>
      </c>
      <c r="I212" t="s">
        <v>64</v>
      </c>
      <c r="J212" t="s">
        <v>238</v>
      </c>
      <c r="K212" t="s">
        <v>248</v>
      </c>
      <c r="L212" t="s">
        <v>236</v>
      </c>
    </row>
    <row r="213" spans="1:12">
      <c r="A213">
        <v>487</v>
      </c>
      <c r="B213" t="s">
        <v>189</v>
      </c>
      <c r="C213" t="str">
        <f>_xlfn.XLOOKUP(B213,product!$A$2:$A$20,product!$B$2:$B$20)</f>
        <v>Monitor</v>
      </c>
      <c r="D213" t="str">
        <f>_xlfn.XLOOKUP(C213,product!$B$2:$B$20,product!$C$2:$C$20)</f>
        <v>Display</v>
      </c>
      <c r="E213">
        <v>129</v>
      </c>
      <c r="F213">
        <v>2378</v>
      </c>
      <c r="G213">
        <v>306762</v>
      </c>
      <c r="H213">
        <v>44773</v>
      </c>
      <c r="I213" t="s">
        <v>245</v>
      </c>
      <c r="J213" t="s">
        <v>241</v>
      </c>
      <c r="K213" t="s">
        <v>235</v>
      </c>
      <c r="L213" t="s">
        <v>240</v>
      </c>
    </row>
    <row r="214" spans="1:12">
      <c r="A214">
        <v>230</v>
      </c>
      <c r="B214" t="s">
        <v>215</v>
      </c>
      <c r="C214" t="str">
        <f>_xlfn.XLOOKUP(B214,product!$A$2:$A$20,product!$B$2:$B$20)</f>
        <v>Speakers</v>
      </c>
      <c r="D214" t="str">
        <f>_xlfn.XLOOKUP(C214,product!$B$2:$B$20,product!$C$2:$C$20)</f>
        <v>Audio</v>
      </c>
      <c r="E214">
        <v>105</v>
      </c>
      <c r="F214">
        <v>2682</v>
      </c>
      <c r="G214">
        <v>281610</v>
      </c>
      <c r="H214">
        <v>44774</v>
      </c>
      <c r="I214" t="s">
        <v>247</v>
      </c>
      <c r="J214" t="s">
        <v>234</v>
      </c>
      <c r="K214" t="s">
        <v>248</v>
      </c>
      <c r="L214" t="s">
        <v>242</v>
      </c>
    </row>
    <row r="215" spans="1:12">
      <c r="A215">
        <v>414</v>
      </c>
      <c r="B215" t="s">
        <v>213</v>
      </c>
      <c r="C215" t="str">
        <f>_xlfn.XLOOKUP(B215,product!$A$2:$A$20,product!$B$2:$B$20)</f>
        <v>Scanner</v>
      </c>
      <c r="D215" t="str">
        <f>_xlfn.XLOOKUP(C215,product!$B$2:$B$20,product!$C$2:$C$20)</f>
        <v>Peripherals</v>
      </c>
      <c r="E215">
        <v>258</v>
      </c>
      <c r="F215">
        <v>2073</v>
      </c>
      <c r="G215">
        <v>534834</v>
      </c>
      <c r="H215">
        <v>44775</v>
      </c>
      <c r="I215" t="s">
        <v>250</v>
      </c>
      <c r="J215" t="s">
        <v>238</v>
      </c>
      <c r="K215" t="s">
        <v>235</v>
      </c>
      <c r="L215" t="s">
        <v>244</v>
      </c>
    </row>
    <row r="216" spans="1:12">
      <c r="A216">
        <v>477</v>
      </c>
      <c r="B216" t="s">
        <v>215</v>
      </c>
      <c r="C216" t="str">
        <f>_xlfn.XLOOKUP(B216,product!$A$2:$A$20,product!$B$2:$B$20)</f>
        <v>Speakers</v>
      </c>
      <c r="D216" t="str">
        <f>_xlfn.XLOOKUP(C216,product!$B$2:$B$20,product!$C$2:$C$20)</f>
        <v>Audio</v>
      </c>
      <c r="E216">
        <v>263</v>
      </c>
      <c r="F216">
        <v>2670</v>
      </c>
      <c r="G216">
        <v>702210</v>
      </c>
      <c r="H216">
        <v>44776</v>
      </c>
      <c r="I216" t="s">
        <v>64</v>
      </c>
      <c r="J216" t="s">
        <v>238</v>
      </c>
      <c r="K216" t="s">
        <v>248</v>
      </c>
      <c r="L216" t="s">
        <v>246</v>
      </c>
    </row>
    <row r="217" spans="1:12">
      <c r="A217">
        <v>454</v>
      </c>
      <c r="B217" t="s">
        <v>191</v>
      </c>
      <c r="C217" t="str">
        <f>_xlfn.XLOOKUP(B217,product!$A$2:$A$20,product!$B$2:$B$20)</f>
        <v>Graphics Card</v>
      </c>
      <c r="D217" t="str">
        <f>_xlfn.XLOOKUP(C217,product!$B$2:$B$20,product!$C$2:$C$20)</f>
        <v>Internal Hardware</v>
      </c>
      <c r="E217">
        <v>188</v>
      </c>
      <c r="F217">
        <v>2075</v>
      </c>
      <c r="G217">
        <v>390100</v>
      </c>
      <c r="H217">
        <v>44777</v>
      </c>
      <c r="I217" t="s">
        <v>59</v>
      </c>
      <c r="J217" t="s">
        <v>234</v>
      </c>
      <c r="K217" t="s">
        <v>235</v>
      </c>
      <c r="L217" t="s">
        <v>249</v>
      </c>
    </row>
    <row r="218" spans="1:12">
      <c r="A218">
        <v>396</v>
      </c>
      <c r="B218" t="s">
        <v>211</v>
      </c>
      <c r="C218" t="str">
        <f>_xlfn.XLOOKUP(B218,product!$A$2:$A$20,product!$B$2:$B$20)</f>
        <v>Printer</v>
      </c>
      <c r="D218" t="str">
        <f>_xlfn.XLOOKUP(C218,product!$B$2:$B$20,product!$C$2:$C$20)</f>
        <v>Peripherals</v>
      </c>
      <c r="E218">
        <v>159</v>
      </c>
      <c r="F218">
        <v>2704</v>
      </c>
      <c r="G218">
        <v>429936</v>
      </c>
      <c r="H218">
        <v>44778</v>
      </c>
      <c r="I218" t="s">
        <v>254</v>
      </c>
      <c r="J218" t="s">
        <v>238</v>
      </c>
      <c r="K218" t="s">
        <v>248</v>
      </c>
      <c r="L218" t="s">
        <v>251</v>
      </c>
    </row>
    <row r="219" spans="1:12">
      <c r="A219">
        <v>217</v>
      </c>
      <c r="B219" t="s">
        <v>220</v>
      </c>
      <c r="C219" t="str">
        <f>_xlfn.XLOOKUP(B219,product!$A$2:$A$20,product!$B$2:$B$20)</f>
        <v>Ethernet Cable</v>
      </c>
      <c r="D219" t="str">
        <f>_xlfn.XLOOKUP(C219,product!$B$2:$B$20,product!$C$2:$C$20)</f>
        <v>Cables &amp; Connectors</v>
      </c>
      <c r="E219">
        <v>266</v>
      </c>
      <c r="F219">
        <v>2035</v>
      </c>
      <c r="G219">
        <v>541310</v>
      </c>
      <c r="H219">
        <v>44779</v>
      </c>
      <c r="I219" t="s">
        <v>256</v>
      </c>
      <c r="J219" t="s">
        <v>234</v>
      </c>
      <c r="K219" t="s">
        <v>248</v>
      </c>
      <c r="L219" t="s">
        <v>252</v>
      </c>
    </row>
    <row r="220" spans="1:12">
      <c r="A220">
        <v>408</v>
      </c>
      <c r="B220" t="s">
        <v>220</v>
      </c>
      <c r="C220" t="str">
        <f>_xlfn.XLOOKUP(B220,product!$A$2:$A$20,product!$B$2:$B$20)</f>
        <v>Ethernet Cable</v>
      </c>
      <c r="D220" t="str">
        <f>_xlfn.XLOOKUP(C220,product!$B$2:$B$20,product!$C$2:$C$20)</f>
        <v>Cables &amp; Connectors</v>
      </c>
      <c r="E220">
        <v>120</v>
      </c>
      <c r="F220">
        <v>2989</v>
      </c>
      <c r="G220">
        <v>358680</v>
      </c>
      <c r="H220">
        <v>44780</v>
      </c>
      <c r="I220" t="s">
        <v>258</v>
      </c>
      <c r="J220" t="s">
        <v>238</v>
      </c>
      <c r="K220" t="s">
        <v>248</v>
      </c>
      <c r="L220" t="s">
        <v>253</v>
      </c>
    </row>
    <row r="221" spans="1:12">
      <c r="A221">
        <v>384</v>
      </c>
      <c r="B221" t="s">
        <v>215</v>
      </c>
      <c r="C221" t="str">
        <f>_xlfn.XLOOKUP(B221,product!$A$2:$A$20,product!$B$2:$B$20)</f>
        <v>Speakers</v>
      </c>
      <c r="D221" t="str">
        <f>_xlfn.XLOOKUP(C221,product!$B$2:$B$20,product!$C$2:$C$20)</f>
        <v>Audio</v>
      </c>
      <c r="E221">
        <v>230</v>
      </c>
      <c r="F221">
        <v>4806</v>
      </c>
      <c r="G221">
        <v>1105380</v>
      </c>
      <c r="H221">
        <v>44781</v>
      </c>
      <c r="I221" t="s">
        <v>260</v>
      </c>
      <c r="J221" t="s">
        <v>238</v>
      </c>
      <c r="K221" t="s">
        <v>235</v>
      </c>
      <c r="L221" t="s">
        <v>255</v>
      </c>
    </row>
    <row r="222" spans="1:12">
      <c r="A222">
        <v>294</v>
      </c>
      <c r="B222" t="s">
        <v>222</v>
      </c>
      <c r="C222" t="str">
        <f>_xlfn.XLOOKUP(B222,product!$A$2:$A$20,product!$B$2:$B$20)</f>
        <v>Laptop Bag</v>
      </c>
      <c r="D222" t="str">
        <f>_xlfn.XLOOKUP(C222,product!$B$2:$B$20,product!$C$2:$C$20)</f>
        <v>Laptop Accessories</v>
      </c>
      <c r="E222">
        <v>192</v>
      </c>
      <c r="F222">
        <v>4280</v>
      </c>
      <c r="G222">
        <v>821760</v>
      </c>
      <c r="H222">
        <v>44782</v>
      </c>
      <c r="I222" t="s">
        <v>233</v>
      </c>
      <c r="J222" t="s">
        <v>238</v>
      </c>
      <c r="K222" t="s">
        <v>248</v>
      </c>
      <c r="L222" t="s">
        <v>257</v>
      </c>
    </row>
    <row r="223" spans="1:12">
      <c r="A223">
        <v>226</v>
      </c>
      <c r="B223" t="s">
        <v>206</v>
      </c>
      <c r="C223" t="str">
        <f>_xlfn.XLOOKUP(B223,product!$A$2:$A$20,product!$B$2:$B$20)</f>
        <v>Cooling Pad</v>
      </c>
      <c r="D223" t="str">
        <f>_xlfn.XLOOKUP(C223,product!$B$2:$B$20,product!$C$2:$C$20)</f>
        <v>Laptop Accessories</v>
      </c>
      <c r="E223">
        <v>127</v>
      </c>
      <c r="F223">
        <v>2763</v>
      </c>
      <c r="G223">
        <v>350901</v>
      </c>
      <c r="H223">
        <v>44783</v>
      </c>
      <c r="I223" t="s">
        <v>237</v>
      </c>
      <c r="J223" t="s">
        <v>241</v>
      </c>
      <c r="K223" t="s">
        <v>239</v>
      </c>
      <c r="L223" t="s">
        <v>259</v>
      </c>
    </row>
    <row r="224" spans="1:12">
      <c r="A224">
        <v>404</v>
      </c>
      <c r="B224" t="s">
        <v>201</v>
      </c>
      <c r="C224" t="str">
        <f>_xlfn.XLOOKUP(B224,product!$A$2:$A$20,product!$B$2:$B$20)</f>
        <v>Webcam</v>
      </c>
      <c r="D224" t="str">
        <f>_xlfn.XLOOKUP(C224,product!$B$2:$B$20,product!$C$2:$C$20)</f>
        <v>Peripherals</v>
      </c>
      <c r="E224">
        <v>182</v>
      </c>
      <c r="F224">
        <v>3158</v>
      </c>
      <c r="G224">
        <v>574756</v>
      </c>
      <c r="H224">
        <v>44784</v>
      </c>
      <c r="I224" t="s">
        <v>90</v>
      </c>
      <c r="J224" t="s">
        <v>234</v>
      </c>
      <c r="K224" t="s">
        <v>239</v>
      </c>
      <c r="L224" t="s">
        <v>261</v>
      </c>
    </row>
    <row r="225" spans="1:12">
      <c r="A225">
        <v>373</v>
      </c>
      <c r="B225" t="s">
        <v>215</v>
      </c>
      <c r="C225" t="str">
        <f>_xlfn.XLOOKUP(B225,product!$A$2:$A$20,product!$B$2:$B$20)</f>
        <v>Speakers</v>
      </c>
      <c r="D225" t="str">
        <f>_xlfn.XLOOKUP(C225,product!$B$2:$B$20,product!$C$2:$C$20)</f>
        <v>Audio</v>
      </c>
      <c r="E225">
        <v>250</v>
      </c>
      <c r="F225">
        <v>3210</v>
      </c>
      <c r="G225">
        <v>802500</v>
      </c>
      <c r="H225">
        <v>44785</v>
      </c>
      <c r="I225" t="s">
        <v>243</v>
      </c>
      <c r="J225" t="s">
        <v>241</v>
      </c>
      <c r="K225" t="s">
        <v>239</v>
      </c>
      <c r="L225" t="s">
        <v>262</v>
      </c>
    </row>
    <row r="226" spans="1:12">
      <c r="A226">
        <v>385</v>
      </c>
      <c r="B226" t="s">
        <v>208</v>
      </c>
      <c r="C226" t="str">
        <f>_xlfn.XLOOKUP(B226,product!$A$2:$A$20,product!$B$2:$B$20)</f>
        <v>Headset</v>
      </c>
      <c r="D226" t="str">
        <f>_xlfn.XLOOKUP(C226,product!$B$2:$B$20,product!$C$2:$C$20)</f>
        <v>Audio</v>
      </c>
      <c r="E226">
        <v>136</v>
      </c>
      <c r="F226">
        <v>3310</v>
      </c>
      <c r="G226">
        <v>450160</v>
      </c>
      <c r="H226">
        <v>44786</v>
      </c>
      <c r="I226" t="s">
        <v>245</v>
      </c>
      <c r="J226" t="s">
        <v>234</v>
      </c>
      <c r="K226" t="s">
        <v>235</v>
      </c>
      <c r="L226" t="s">
        <v>263</v>
      </c>
    </row>
    <row r="227" spans="1:12">
      <c r="A227">
        <v>424</v>
      </c>
      <c r="B227" t="s">
        <v>194</v>
      </c>
      <c r="C227" t="str">
        <f>_xlfn.XLOOKUP(B227,product!$A$2:$A$20,product!$B$2:$B$20)</f>
        <v>RAM Module</v>
      </c>
      <c r="D227" t="str">
        <f>_xlfn.XLOOKUP(C227,product!$B$2:$B$20,product!$C$2:$C$20)</f>
        <v>Internal Hardware</v>
      </c>
      <c r="E227">
        <v>223</v>
      </c>
      <c r="F227">
        <v>2730</v>
      </c>
      <c r="G227">
        <v>608790</v>
      </c>
      <c r="H227">
        <v>44787</v>
      </c>
      <c r="I227" t="s">
        <v>247</v>
      </c>
      <c r="J227" t="s">
        <v>234</v>
      </c>
      <c r="K227" t="s">
        <v>235</v>
      </c>
      <c r="L227" t="s">
        <v>236</v>
      </c>
    </row>
    <row r="228" spans="1:12">
      <c r="A228">
        <v>290</v>
      </c>
      <c r="B228" t="s">
        <v>196</v>
      </c>
      <c r="C228" t="str">
        <f>_xlfn.XLOOKUP(B228,product!$A$2:$A$20,product!$B$2:$B$20)</f>
        <v>SSD</v>
      </c>
      <c r="D228" t="str">
        <f>_xlfn.XLOOKUP(C228,product!$B$2:$B$20,product!$C$2:$C$20)</f>
        <v>Internal Hardware</v>
      </c>
      <c r="E228">
        <v>284</v>
      </c>
      <c r="F228">
        <v>4678</v>
      </c>
      <c r="G228">
        <v>1328552</v>
      </c>
      <c r="H228">
        <v>44788</v>
      </c>
      <c r="I228" t="s">
        <v>250</v>
      </c>
      <c r="J228" t="s">
        <v>234</v>
      </c>
      <c r="K228" t="s">
        <v>248</v>
      </c>
      <c r="L228" t="s">
        <v>240</v>
      </c>
    </row>
    <row r="229" spans="1:12">
      <c r="A229">
        <v>323</v>
      </c>
      <c r="B229" t="s">
        <v>220</v>
      </c>
      <c r="C229" t="str">
        <f>_xlfn.XLOOKUP(B229,product!$A$2:$A$20,product!$B$2:$B$20)</f>
        <v>Ethernet Cable</v>
      </c>
      <c r="D229" t="str">
        <f>_xlfn.XLOOKUP(C229,product!$B$2:$B$20,product!$C$2:$C$20)</f>
        <v>Cables &amp; Connectors</v>
      </c>
      <c r="E229">
        <v>170</v>
      </c>
      <c r="F229">
        <v>4004</v>
      </c>
      <c r="G229">
        <v>680680</v>
      </c>
      <c r="H229">
        <v>44789</v>
      </c>
      <c r="I229" t="s">
        <v>64</v>
      </c>
      <c r="J229" t="s">
        <v>241</v>
      </c>
      <c r="K229" t="s">
        <v>235</v>
      </c>
      <c r="L229" t="s">
        <v>242</v>
      </c>
    </row>
    <row r="230" spans="1:12">
      <c r="A230">
        <v>495</v>
      </c>
      <c r="B230" t="s">
        <v>208</v>
      </c>
      <c r="C230" t="str">
        <f>_xlfn.XLOOKUP(B230,product!$A$2:$A$20,product!$B$2:$B$20)</f>
        <v>Headset</v>
      </c>
      <c r="D230" t="str">
        <f>_xlfn.XLOOKUP(C230,product!$B$2:$B$20,product!$C$2:$C$20)</f>
        <v>Audio</v>
      </c>
      <c r="E230">
        <v>177</v>
      </c>
      <c r="F230">
        <v>4264</v>
      </c>
      <c r="G230">
        <v>754728</v>
      </c>
      <c r="H230">
        <v>44790</v>
      </c>
      <c r="I230" t="s">
        <v>254</v>
      </c>
      <c r="J230" t="s">
        <v>234</v>
      </c>
      <c r="K230" t="s">
        <v>239</v>
      </c>
      <c r="L230" t="s">
        <v>244</v>
      </c>
    </row>
    <row r="231" spans="1:12">
      <c r="A231">
        <v>222</v>
      </c>
      <c r="B231" t="s">
        <v>211</v>
      </c>
      <c r="C231" t="str">
        <f>_xlfn.XLOOKUP(B231,product!$A$2:$A$20,product!$B$2:$B$20)</f>
        <v>Printer</v>
      </c>
      <c r="D231" t="str">
        <f>_xlfn.XLOOKUP(C231,product!$B$2:$B$20,product!$C$2:$C$20)</f>
        <v>Peripherals</v>
      </c>
      <c r="E231">
        <v>298</v>
      </c>
      <c r="F231">
        <v>4765</v>
      </c>
      <c r="G231">
        <v>1419970</v>
      </c>
      <c r="H231">
        <v>44791</v>
      </c>
      <c r="I231" t="s">
        <v>256</v>
      </c>
      <c r="J231" t="s">
        <v>238</v>
      </c>
      <c r="K231" t="s">
        <v>235</v>
      </c>
      <c r="L231" t="s">
        <v>246</v>
      </c>
    </row>
    <row r="232" spans="1:12">
      <c r="A232">
        <v>492</v>
      </c>
      <c r="B232" t="s">
        <v>220</v>
      </c>
      <c r="C232" t="str">
        <f>_xlfn.XLOOKUP(B232,product!$A$2:$A$20,product!$B$2:$B$20)</f>
        <v>Ethernet Cable</v>
      </c>
      <c r="D232" t="str">
        <f>_xlfn.XLOOKUP(C232,product!$B$2:$B$20,product!$C$2:$C$20)</f>
        <v>Cables &amp; Connectors</v>
      </c>
      <c r="E232">
        <v>137</v>
      </c>
      <c r="F232">
        <v>3541</v>
      </c>
      <c r="G232">
        <v>485117</v>
      </c>
      <c r="H232">
        <v>44792</v>
      </c>
      <c r="I232" t="s">
        <v>258</v>
      </c>
      <c r="J232" t="s">
        <v>241</v>
      </c>
      <c r="K232" t="s">
        <v>248</v>
      </c>
      <c r="L232" t="s">
        <v>249</v>
      </c>
    </row>
    <row r="233" spans="1:12">
      <c r="A233">
        <v>494</v>
      </c>
      <c r="B233" t="s">
        <v>198</v>
      </c>
      <c r="C233" t="str">
        <f>_xlfn.XLOOKUP(B233,product!$A$2:$A$20,product!$B$2:$B$20)</f>
        <v>HDMI Cable</v>
      </c>
      <c r="D233" t="str">
        <f>_xlfn.XLOOKUP(C233,product!$B$2:$B$20,product!$C$2:$C$20)</f>
        <v>Cables &amp; Connectors</v>
      </c>
      <c r="E233">
        <v>162</v>
      </c>
      <c r="F233">
        <v>2755</v>
      </c>
      <c r="G233">
        <v>446310</v>
      </c>
      <c r="H233">
        <v>44793</v>
      </c>
      <c r="I233" t="s">
        <v>260</v>
      </c>
      <c r="J233" t="s">
        <v>241</v>
      </c>
      <c r="K233" t="s">
        <v>239</v>
      </c>
      <c r="L233" t="s">
        <v>251</v>
      </c>
    </row>
    <row r="234" spans="1:12">
      <c r="A234">
        <v>232</v>
      </c>
      <c r="B234" t="s">
        <v>184</v>
      </c>
      <c r="C234" t="str">
        <f>_xlfn.XLOOKUP(B234,product!$A$2:$A$20,product!$B$2:$B$20)</f>
        <v>Hard Drive</v>
      </c>
      <c r="D234" t="str">
        <f>_xlfn.XLOOKUP(C234,product!$B$2:$B$20,product!$C$2:$C$20)</f>
        <v>Storage</v>
      </c>
      <c r="E234">
        <v>252</v>
      </c>
      <c r="F234">
        <v>4217</v>
      </c>
      <c r="G234">
        <v>1062684</v>
      </c>
      <c r="H234">
        <v>44794</v>
      </c>
      <c r="I234" t="s">
        <v>233</v>
      </c>
      <c r="J234" t="s">
        <v>238</v>
      </c>
      <c r="K234" t="s">
        <v>248</v>
      </c>
      <c r="L234" t="s">
        <v>252</v>
      </c>
    </row>
    <row r="235" spans="1:12">
      <c r="A235">
        <v>349</v>
      </c>
      <c r="B235" t="s">
        <v>189</v>
      </c>
      <c r="C235" t="str">
        <f>_xlfn.XLOOKUP(B235,product!$A$2:$A$20,product!$B$2:$B$20)</f>
        <v>Monitor</v>
      </c>
      <c r="D235" t="str">
        <f>_xlfn.XLOOKUP(C235,product!$B$2:$B$20,product!$C$2:$C$20)</f>
        <v>Display</v>
      </c>
      <c r="E235">
        <v>255</v>
      </c>
      <c r="F235">
        <v>2677</v>
      </c>
      <c r="G235">
        <v>682635</v>
      </c>
      <c r="H235">
        <v>44795</v>
      </c>
      <c r="I235" t="s">
        <v>237</v>
      </c>
      <c r="J235" t="s">
        <v>234</v>
      </c>
      <c r="K235" t="s">
        <v>239</v>
      </c>
      <c r="L235" t="s">
        <v>253</v>
      </c>
    </row>
    <row r="236" spans="1:12">
      <c r="A236">
        <v>413</v>
      </c>
      <c r="B236" t="s">
        <v>194</v>
      </c>
      <c r="C236" t="str">
        <f>_xlfn.XLOOKUP(B236,product!$A$2:$A$20,product!$B$2:$B$20)</f>
        <v>RAM Module</v>
      </c>
      <c r="D236" t="str">
        <f>_xlfn.XLOOKUP(C236,product!$B$2:$B$20,product!$C$2:$C$20)</f>
        <v>Internal Hardware</v>
      </c>
      <c r="E236">
        <v>300</v>
      </c>
      <c r="F236">
        <v>3538</v>
      </c>
      <c r="G236">
        <v>1061400</v>
      </c>
      <c r="H236">
        <v>44796</v>
      </c>
      <c r="I236" t="s">
        <v>90</v>
      </c>
      <c r="J236" t="s">
        <v>241</v>
      </c>
      <c r="K236" t="s">
        <v>239</v>
      </c>
      <c r="L236" t="s">
        <v>255</v>
      </c>
    </row>
    <row r="237" spans="1:12">
      <c r="A237">
        <v>229</v>
      </c>
      <c r="B237" t="s">
        <v>211</v>
      </c>
      <c r="C237" t="str">
        <f>_xlfn.XLOOKUP(B237,product!$A$2:$A$20,product!$B$2:$B$20)</f>
        <v>Printer</v>
      </c>
      <c r="D237" t="str">
        <f>_xlfn.XLOOKUP(C237,product!$B$2:$B$20,product!$C$2:$C$20)</f>
        <v>Peripherals</v>
      </c>
      <c r="E237">
        <v>170</v>
      </c>
      <c r="F237">
        <v>4037</v>
      </c>
      <c r="G237">
        <v>686290</v>
      </c>
      <c r="H237">
        <v>44797</v>
      </c>
      <c r="I237" t="s">
        <v>243</v>
      </c>
      <c r="J237" t="s">
        <v>241</v>
      </c>
      <c r="K237" t="s">
        <v>248</v>
      </c>
      <c r="L237" t="s">
        <v>257</v>
      </c>
    </row>
    <row r="238" spans="1:12">
      <c r="A238">
        <v>432</v>
      </c>
      <c r="B238" t="s">
        <v>194</v>
      </c>
      <c r="C238" t="str">
        <f>_xlfn.XLOOKUP(B238,product!$A$2:$A$20,product!$B$2:$B$20)</f>
        <v>RAM Module</v>
      </c>
      <c r="D238" t="str">
        <f>_xlfn.XLOOKUP(C238,product!$B$2:$B$20,product!$C$2:$C$20)</f>
        <v>Internal Hardware</v>
      </c>
      <c r="E238">
        <v>214</v>
      </c>
      <c r="F238">
        <v>2142</v>
      </c>
      <c r="G238">
        <v>458388</v>
      </c>
      <c r="H238">
        <v>44798</v>
      </c>
      <c r="I238" t="s">
        <v>245</v>
      </c>
      <c r="J238" t="s">
        <v>234</v>
      </c>
      <c r="K238" t="s">
        <v>248</v>
      </c>
      <c r="L238" t="s">
        <v>259</v>
      </c>
    </row>
    <row r="239" spans="1:12">
      <c r="A239">
        <v>342</v>
      </c>
      <c r="B239" t="s">
        <v>206</v>
      </c>
      <c r="C239" t="str">
        <f>_xlfn.XLOOKUP(B239,product!$A$2:$A$20,product!$B$2:$B$20)</f>
        <v>Cooling Pad</v>
      </c>
      <c r="D239" t="str">
        <f>_xlfn.XLOOKUP(C239,product!$B$2:$B$20,product!$C$2:$C$20)</f>
        <v>Laptop Accessories</v>
      </c>
      <c r="E239">
        <v>125</v>
      </c>
      <c r="F239">
        <v>3883</v>
      </c>
      <c r="G239">
        <v>485375</v>
      </c>
      <c r="H239">
        <v>44799</v>
      </c>
      <c r="I239" t="s">
        <v>247</v>
      </c>
      <c r="J239" t="s">
        <v>234</v>
      </c>
      <c r="K239" t="s">
        <v>235</v>
      </c>
      <c r="L239" t="s">
        <v>261</v>
      </c>
    </row>
    <row r="240" spans="1:12">
      <c r="A240">
        <v>431</v>
      </c>
      <c r="B240" t="s">
        <v>187</v>
      </c>
      <c r="C240" t="str">
        <f>_xlfn.XLOOKUP(B240,product!$A$2:$A$20,product!$B$2:$B$20)</f>
        <v>USB Flash Drive</v>
      </c>
      <c r="D240" t="str">
        <f>_xlfn.XLOOKUP(C240,product!$B$2:$B$20,product!$C$2:$C$20)</f>
        <v>Storage</v>
      </c>
      <c r="E240">
        <v>145</v>
      </c>
      <c r="F240">
        <v>2834</v>
      </c>
      <c r="G240">
        <v>410930</v>
      </c>
      <c r="H240">
        <v>44800</v>
      </c>
      <c r="I240" t="s">
        <v>250</v>
      </c>
      <c r="J240" t="s">
        <v>234</v>
      </c>
      <c r="K240" t="s">
        <v>248</v>
      </c>
      <c r="L240" t="s">
        <v>262</v>
      </c>
    </row>
    <row r="241" spans="1:12">
      <c r="A241">
        <v>423</v>
      </c>
      <c r="B241" t="s">
        <v>213</v>
      </c>
      <c r="C241" t="str">
        <f>_xlfn.XLOOKUP(B241,product!$A$2:$A$20,product!$B$2:$B$20)</f>
        <v>Scanner</v>
      </c>
      <c r="D241" t="str">
        <f>_xlfn.XLOOKUP(C241,product!$B$2:$B$20,product!$C$2:$C$20)</f>
        <v>Peripherals</v>
      </c>
      <c r="E241">
        <v>285</v>
      </c>
      <c r="F241">
        <v>3670</v>
      </c>
      <c r="G241">
        <v>1045950</v>
      </c>
      <c r="H241">
        <v>44801</v>
      </c>
      <c r="I241" t="s">
        <v>64</v>
      </c>
      <c r="J241" t="s">
        <v>241</v>
      </c>
      <c r="K241" t="s">
        <v>235</v>
      </c>
      <c r="L241" t="s">
        <v>263</v>
      </c>
    </row>
    <row r="242" spans="1:12">
      <c r="A242">
        <v>252</v>
      </c>
      <c r="B242" t="s">
        <v>220</v>
      </c>
      <c r="C242" t="str">
        <f>_xlfn.XLOOKUP(B242,product!$A$2:$A$20,product!$B$2:$B$20)</f>
        <v>Ethernet Cable</v>
      </c>
      <c r="D242" t="str">
        <f>_xlfn.XLOOKUP(C242,product!$B$2:$B$20,product!$C$2:$C$20)</f>
        <v>Cables &amp; Connectors</v>
      </c>
      <c r="E242">
        <v>288</v>
      </c>
      <c r="F242">
        <v>2274</v>
      </c>
      <c r="G242">
        <v>654912</v>
      </c>
      <c r="H242">
        <v>44802</v>
      </c>
      <c r="I242" t="s">
        <v>233</v>
      </c>
      <c r="J242" t="s">
        <v>234</v>
      </c>
      <c r="K242" t="s">
        <v>239</v>
      </c>
      <c r="L242" t="s">
        <v>236</v>
      </c>
    </row>
    <row r="243" spans="1:12">
      <c r="A243">
        <v>496</v>
      </c>
      <c r="B243" t="s">
        <v>201</v>
      </c>
      <c r="C243" t="str">
        <f>_xlfn.XLOOKUP(B243,product!$A$2:$A$20,product!$B$2:$B$20)</f>
        <v>Webcam</v>
      </c>
      <c r="D243" t="str">
        <f>_xlfn.XLOOKUP(C243,product!$B$2:$B$20,product!$C$2:$C$20)</f>
        <v>Peripherals</v>
      </c>
      <c r="E243">
        <v>296</v>
      </c>
      <c r="F243">
        <v>3470</v>
      </c>
      <c r="G243">
        <v>1027120</v>
      </c>
      <c r="H243">
        <v>44803</v>
      </c>
      <c r="I243" t="s">
        <v>237</v>
      </c>
      <c r="J243" t="s">
        <v>241</v>
      </c>
      <c r="K243" t="s">
        <v>248</v>
      </c>
      <c r="L243" t="s">
        <v>240</v>
      </c>
    </row>
    <row r="244" spans="1:12">
      <c r="A244">
        <v>453</v>
      </c>
      <c r="B244" t="s">
        <v>187</v>
      </c>
      <c r="C244" t="str">
        <f>_xlfn.XLOOKUP(B244,product!$A$2:$A$20,product!$B$2:$B$20)</f>
        <v>USB Flash Drive</v>
      </c>
      <c r="D244" t="str">
        <f>_xlfn.XLOOKUP(C244,product!$B$2:$B$20,product!$C$2:$C$20)</f>
        <v>Storage</v>
      </c>
      <c r="E244">
        <v>268</v>
      </c>
      <c r="F244">
        <v>3977</v>
      </c>
      <c r="G244">
        <v>1065836</v>
      </c>
      <c r="H244">
        <v>44804</v>
      </c>
      <c r="I244" t="s">
        <v>90</v>
      </c>
      <c r="J244" t="s">
        <v>238</v>
      </c>
      <c r="K244" t="s">
        <v>248</v>
      </c>
      <c r="L244" t="s">
        <v>242</v>
      </c>
    </row>
    <row r="245" spans="1:12">
      <c r="A245">
        <v>484</v>
      </c>
      <c r="B245" t="s">
        <v>203</v>
      </c>
      <c r="C245" t="str">
        <f>_xlfn.XLOOKUP(B245,product!$A$2:$A$20,product!$B$2:$B$20)</f>
        <v>Laptop Stand</v>
      </c>
      <c r="D245" t="str">
        <f>_xlfn.XLOOKUP(C245,product!$B$2:$B$20,product!$C$2:$C$20)</f>
        <v>Laptop Accessories</v>
      </c>
      <c r="E245">
        <v>109</v>
      </c>
      <c r="F245">
        <v>2041</v>
      </c>
      <c r="G245">
        <v>222469</v>
      </c>
      <c r="H245">
        <v>44805</v>
      </c>
      <c r="I245" t="s">
        <v>243</v>
      </c>
      <c r="J245" t="s">
        <v>234</v>
      </c>
      <c r="K245" t="s">
        <v>239</v>
      </c>
      <c r="L245" t="s">
        <v>244</v>
      </c>
    </row>
    <row r="246" spans="1:12">
      <c r="A246">
        <v>338</v>
      </c>
      <c r="B246" t="s">
        <v>189</v>
      </c>
      <c r="C246" t="str">
        <f>_xlfn.XLOOKUP(B246,product!$A$2:$A$20,product!$B$2:$B$20)</f>
        <v>Monitor</v>
      </c>
      <c r="D246" t="str">
        <f>_xlfn.XLOOKUP(C246,product!$B$2:$B$20,product!$C$2:$C$20)</f>
        <v>Display</v>
      </c>
      <c r="E246">
        <v>199</v>
      </c>
      <c r="F246">
        <v>3992</v>
      </c>
      <c r="G246">
        <v>794408</v>
      </c>
      <c r="H246">
        <v>44806</v>
      </c>
      <c r="I246" t="s">
        <v>245</v>
      </c>
      <c r="J246" t="s">
        <v>238</v>
      </c>
      <c r="K246" t="s">
        <v>239</v>
      </c>
      <c r="L246" t="s">
        <v>246</v>
      </c>
    </row>
    <row r="247" spans="1:12">
      <c r="A247">
        <v>289</v>
      </c>
      <c r="B247" t="s">
        <v>194</v>
      </c>
      <c r="C247" t="str">
        <f>_xlfn.XLOOKUP(B247,product!$A$2:$A$20,product!$B$2:$B$20)</f>
        <v>RAM Module</v>
      </c>
      <c r="D247" t="str">
        <f>_xlfn.XLOOKUP(C247,product!$B$2:$B$20,product!$C$2:$C$20)</f>
        <v>Internal Hardware</v>
      </c>
      <c r="E247">
        <v>212</v>
      </c>
      <c r="F247">
        <v>3578</v>
      </c>
      <c r="G247">
        <v>758536</v>
      </c>
      <c r="H247">
        <v>44807</v>
      </c>
      <c r="I247" t="s">
        <v>247</v>
      </c>
      <c r="J247" t="s">
        <v>241</v>
      </c>
      <c r="K247" t="s">
        <v>248</v>
      </c>
      <c r="L247" t="s">
        <v>249</v>
      </c>
    </row>
    <row r="248" spans="1:12">
      <c r="A248">
        <v>449</v>
      </c>
      <c r="B248" t="s">
        <v>220</v>
      </c>
      <c r="C248" t="str">
        <f>_xlfn.XLOOKUP(B248,product!$A$2:$A$20,product!$B$2:$B$20)</f>
        <v>Ethernet Cable</v>
      </c>
      <c r="D248" t="str">
        <f>_xlfn.XLOOKUP(C248,product!$B$2:$B$20,product!$C$2:$C$20)</f>
        <v>Cables &amp; Connectors</v>
      </c>
      <c r="E248">
        <v>280</v>
      </c>
      <c r="F248">
        <v>3681</v>
      </c>
      <c r="G248">
        <v>1030680</v>
      </c>
      <c r="H248">
        <v>44808</v>
      </c>
      <c r="I248" t="s">
        <v>250</v>
      </c>
      <c r="J248" t="s">
        <v>234</v>
      </c>
      <c r="K248" t="s">
        <v>248</v>
      </c>
      <c r="L248" t="s">
        <v>251</v>
      </c>
    </row>
    <row r="249" spans="1:12">
      <c r="A249">
        <v>304</v>
      </c>
      <c r="B249" t="s">
        <v>217</v>
      </c>
      <c r="C249" t="str">
        <f>_xlfn.XLOOKUP(B249,product!$A$2:$A$20,product!$B$2:$B$20)</f>
        <v>Wireless Router</v>
      </c>
      <c r="D249" t="str">
        <f>_xlfn.XLOOKUP(C249,product!$B$2:$B$20,product!$C$2:$C$20)</f>
        <v>Network</v>
      </c>
      <c r="E249">
        <v>254</v>
      </c>
      <c r="F249">
        <v>2187</v>
      </c>
      <c r="G249">
        <v>555498</v>
      </c>
      <c r="H249">
        <v>44809</v>
      </c>
      <c r="I249" t="s">
        <v>64</v>
      </c>
      <c r="J249" t="s">
        <v>241</v>
      </c>
      <c r="K249" t="s">
        <v>239</v>
      </c>
      <c r="L249" t="s">
        <v>252</v>
      </c>
    </row>
    <row r="250" spans="1:12">
      <c r="A250">
        <v>462</v>
      </c>
      <c r="B250" t="s">
        <v>217</v>
      </c>
      <c r="C250" t="str">
        <f>_xlfn.XLOOKUP(B250,product!$A$2:$A$20,product!$B$2:$B$20)</f>
        <v>Wireless Router</v>
      </c>
      <c r="D250" t="str">
        <f>_xlfn.XLOOKUP(C250,product!$B$2:$B$20,product!$C$2:$C$20)</f>
        <v>Network</v>
      </c>
      <c r="E250">
        <v>238</v>
      </c>
      <c r="F250">
        <v>4220</v>
      </c>
      <c r="G250">
        <v>1004360</v>
      </c>
      <c r="H250">
        <v>44810</v>
      </c>
      <c r="I250" t="s">
        <v>59</v>
      </c>
      <c r="J250" t="s">
        <v>241</v>
      </c>
      <c r="K250" t="s">
        <v>235</v>
      </c>
      <c r="L250" t="s">
        <v>253</v>
      </c>
    </row>
    <row r="251" spans="1:12">
      <c r="A251">
        <v>413</v>
      </c>
      <c r="B251" t="s">
        <v>208</v>
      </c>
      <c r="C251" t="str">
        <f>_xlfn.XLOOKUP(B251,product!$A$2:$A$20,product!$B$2:$B$20)</f>
        <v>Headset</v>
      </c>
      <c r="D251" t="str">
        <f>_xlfn.XLOOKUP(C251,product!$B$2:$B$20,product!$C$2:$C$20)</f>
        <v>Audio</v>
      </c>
      <c r="E251">
        <v>289</v>
      </c>
      <c r="F251">
        <v>3559</v>
      </c>
      <c r="G251">
        <v>1028551</v>
      </c>
      <c r="H251">
        <v>44811</v>
      </c>
      <c r="I251" t="s">
        <v>254</v>
      </c>
      <c r="J251" t="s">
        <v>238</v>
      </c>
      <c r="K251" t="s">
        <v>239</v>
      </c>
      <c r="L251" t="s">
        <v>255</v>
      </c>
    </row>
    <row r="252" spans="1:12">
      <c r="A252">
        <v>378</v>
      </c>
      <c r="B252" t="s">
        <v>198</v>
      </c>
      <c r="C252" t="str">
        <f>_xlfn.XLOOKUP(B252,product!$A$2:$A$20,product!$B$2:$B$20)</f>
        <v>HDMI Cable</v>
      </c>
      <c r="D252" t="str">
        <f>_xlfn.XLOOKUP(C252,product!$B$2:$B$20,product!$C$2:$C$20)</f>
        <v>Cables &amp; Connectors</v>
      </c>
      <c r="E252">
        <v>131</v>
      </c>
      <c r="F252">
        <v>4060</v>
      </c>
      <c r="G252">
        <v>531860</v>
      </c>
      <c r="H252">
        <v>44812</v>
      </c>
      <c r="I252" t="s">
        <v>256</v>
      </c>
      <c r="J252" t="s">
        <v>241</v>
      </c>
      <c r="K252" t="s">
        <v>239</v>
      </c>
      <c r="L252" t="s">
        <v>257</v>
      </c>
    </row>
    <row r="253" spans="1:12">
      <c r="A253">
        <v>418</v>
      </c>
      <c r="B253" t="s">
        <v>217</v>
      </c>
      <c r="C253" t="str">
        <f>_xlfn.XLOOKUP(B253,product!$A$2:$A$20,product!$B$2:$B$20)</f>
        <v>Wireless Router</v>
      </c>
      <c r="D253" t="str">
        <f>_xlfn.XLOOKUP(C253,product!$B$2:$B$20,product!$C$2:$C$20)</f>
        <v>Network</v>
      </c>
      <c r="E253">
        <v>276</v>
      </c>
      <c r="F253">
        <v>2283</v>
      </c>
      <c r="G253">
        <v>630108</v>
      </c>
      <c r="H253">
        <v>44813</v>
      </c>
      <c r="I253" t="s">
        <v>258</v>
      </c>
      <c r="J253" t="s">
        <v>241</v>
      </c>
      <c r="K253" t="s">
        <v>239</v>
      </c>
      <c r="L253" t="s">
        <v>259</v>
      </c>
    </row>
    <row r="254" spans="1:12">
      <c r="A254">
        <v>293</v>
      </c>
      <c r="B254" t="s">
        <v>203</v>
      </c>
      <c r="C254" t="str">
        <f>_xlfn.XLOOKUP(B254,product!$A$2:$A$20,product!$B$2:$B$20)</f>
        <v>Laptop Stand</v>
      </c>
      <c r="D254" t="str">
        <f>_xlfn.XLOOKUP(C254,product!$B$2:$B$20,product!$C$2:$C$20)</f>
        <v>Laptop Accessories</v>
      </c>
      <c r="E254">
        <v>145</v>
      </c>
      <c r="F254">
        <v>2474</v>
      </c>
      <c r="G254">
        <v>358730</v>
      </c>
      <c r="H254">
        <v>44814</v>
      </c>
      <c r="I254" t="s">
        <v>260</v>
      </c>
      <c r="J254" t="s">
        <v>238</v>
      </c>
      <c r="K254" t="s">
        <v>248</v>
      </c>
      <c r="L254" t="s">
        <v>261</v>
      </c>
    </row>
    <row r="255" spans="1:12">
      <c r="A255">
        <v>461</v>
      </c>
      <c r="B255" t="s">
        <v>208</v>
      </c>
      <c r="C255" t="str">
        <f>_xlfn.XLOOKUP(B255,product!$A$2:$A$20,product!$B$2:$B$20)</f>
        <v>Headset</v>
      </c>
      <c r="D255" t="str">
        <f>_xlfn.XLOOKUP(C255,product!$B$2:$B$20,product!$C$2:$C$20)</f>
        <v>Audio</v>
      </c>
      <c r="E255">
        <v>141</v>
      </c>
      <c r="F255">
        <v>2155</v>
      </c>
      <c r="G255">
        <v>303855</v>
      </c>
      <c r="H255">
        <v>44815</v>
      </c>
      <c r="I255" t="s">
        <v>233</v>
      </c>
      <c r="J255" t="s">
        <v>234</v>
      </c>
      <c r="K255" t="s">
        <v>239</v>
      </c>
      <c r="L255" t="s">
        <v>262</v>
      </c>
    </row>
    <row r="256" spans="1:12">
      <c r="A256">
        <v>222</v>
      </c>
      <c r="B256" t="s">
        <v>198</v>
      </c>
      <c r="C256" t="str">
        <f>_xlfn.XLOOKUP(B256,product!$A$2:$A$20,product!$B$2:$B$20)</f>
        <v>HDMI Cable</v>
      </c>
      <c r="D256" t="str">
        <f>_xlfn.XLOOKUP(C256,product!$B$2:$B$20,product!$C$2:$C$20)</f>
        <v>Cables &amp; Connectors</v>
      </c>
      <c r="E256">
        <v>182</v>
      </c>
      <c r="F256">
        <v>3564</v>
      </c>
      <c r="G256">
        <v>648648</v>
      </c>
      <c r="H256">
        <v>44816</v>
      </c>
      <c r="I256" t="s">
        <v>237</v>
      </c>
      <c r="J256" t="s">
        <v>238</v>
      </c>
      <c r="K256" t="s">
        <v>235</v>
      </c>
      <c r="L256" t="s">
        <v>263</v>
      </c>
    </row>
    <row r="257" spans="1:12">
      <c r="A257">
        <v>288</v>
      </c>
      <c r="B257" t="s">
        <v>184</v>
      </c>
      <c r="C257" t="str">
        <f>_xlfn.XLOOKUP(B257,product!$A$2:$A$20,product!$B$2:$B$20)</f>
        <v>Hard Drive</v>
      </c>
      <c r="D257" t="str">
        <f>_xlfn.XLOOKUP(C257,product!$B$2:$B$20,product!$C$2:$C$20)</f>
        <v>Storage</v>
      </c>
      <c r="E257">
        <v>247</v>
      </c>
      <c r="F257">
        <v>2729</v>
      </c>
      <c r="G257">
        <v>674063</v>
      </c>
      <c r="H257">
        <v>44817</v>
      </c>
      <c r="I257" t="s">
        <v>90</v>
      </c>
      <c r="J257" t="s">
        <v>234</v>
      </c>
      <c r="K257" t="s">
        <v>248</v>
      </c>
      <c r="L257" t="s">
        <v>236</v>
      </c>
    </row>
    <row r="258" spans="1:12">
      <c r="A258">
        <v>487</v>
      </c>
      <c r="B258" t="s">
        <v>208</v>
      </c>
      <c r="C258" t="str">
        <f>_xlfn.XLOOKUP(B258,product!$A$2:$A$20,product!$B$2:$B$20)</f>
        <v>Headset</v>
      </c>
      <c r="D258" t="str">
        <f>_xlfn.XLOOKUP(C258,product!$B$2:$B$20,product!$C$2:$C$20)</f>
        <v>Audio</v>
      </c>
      <c r="E258">
        <v>294</v>
      </c>
      <c r="F258">
        <v>4304</v>
      </c>
      <c r="G258">
        <v>1265376</v>
      </c>
      <c r="H258">
        <v>44818</v>
      </c>
      <c r="I258" t="s">
        <v>243</v>
      </c>
      <c r="J258" t="s">
        <v>234</v>
      </c>
      <c r="K258" t="s">
        <v>239</v>
      </c>
      <c r="L258" t="s">
        <v>240</v>
      </c>
    </row>
    <row r="259" spans="1:12">
      <c r="A259">
        <v>302</v>
      </c>
      <c r="B259" t="s">
        <v>189</v>
      </c>
      <c r="C259" t="str">
        <f>_xlfn.XLOOKUP(B259,product!$A$2:$A$20,product!$B$2:$B$20)</f>
        <v>Monitor</v>
      </c>
      <c r="D259" t="str">
        <f>_xlfn.XLOOKUP(C259,product!$B$2:$B$20,product!$C$2:$C$20)</f>
        <v>Display</v>
      </c>
      <c r="E259">
        <v>286</v>
      </c>
      <c r="F259">
        <v>3061</v>
      </c>
      <c r="G259">
        <v>875446</v>
      </c>
      <c r="H259">
        <v>44819</v>
      </c>
      <c r="I259" t="s">
        <v>245</v>
      </c>
      <c r="J259" t="s">
        <v>241</v>
      </c>
      <c r="K259" t="s">
        <v>239</v>
      </c>
      <c r="L259" t="s">
        <v>242</v>
      </c>
    </row>
    <row r="260" spans="1:12">
      <c r="A260">
        <v>309</v>
      </c>
      <c r="B260" t="s">
        <v>191</v>
      </c>
      <c r="C260" t="str">
        <f>_xlfn.XLOOKUP(B260,product!$A$2:$A$20,product!$B$2:$B$20)</f>
        <v>Graphics Card</v>
      </c>
      <c r="D260" t="str">
        <f>_xlfn.XLOOKUP(C260,product!$B$2:$B$20,product!$C$2:$C$20)</f>
        <v>Internal Hardware</v>
      </c>
      <c r="E260">
        <v>163</v>
      </c>
      <c r="F260">
        <v>2344</v>
      </c>
      <c r="G260">
        <v>382072</v>
      </c>
      <c r="H260">
        <v>44820</v>
      </c>
      <c r="I260" t="s">
        <v>247</v>
      </c>
      <c r="J260" t="s">
        <v>234</v>
      </c>
      <c r="K260" t="s">
        <v>248</v>
      </c>
      <c r="L260" t="s">
        <v>244</v>
      </c>
    </row>
    <row r="261" spans="1:12">
      <c r="A261">
        <v>234</v>
      </c>
      <c r="B261" t="s">
        <v>211</v>
      </c>
      <c r="C261" t="str">
        <f>_xlfn.XLOOKUP(B261,product!$A$2:$A$20,product!$B$2:$B$20)</f>
        <v>Printer</v>
      </c>
      <c r="D261" t="str">
        <f>_xlfn.XLOOKUP(C261,product!$B$2:$B$20,product!$C$2:$C$20)</f>
        <v>Peripherals</v>
      </c>
      <c r="E261">
        <v>141</v>
      </c>
      <c r="F261">
        <v>2550</v>
      </c>
      <c r="G261">
        <v>359550</v>
      </c>
      <c r="H261">
        <v>44821</v>
      </c>
      <c r="I261" t="s">
        <v>250</v>
      </c>
      <c r="J261" t="s">
        <v>238</v>
      </c>
      <c r="K261" t="s">
        <v>235</v>
      </c>
      <c r="L261" t="s">
        <v>246</v>
      </c>
    </row>
    <row r="262" spans="1:12">
      <c r="A262">
        <v>356</v>
      </c>
      <c r="B262" t="s">
        <v>194</v>
      </c>
      <c r="C262" t="str">
        <f>_xlfn.XLOOKUP(B262,product!$A$2:$A$20,product!$B$2:$B$20)</f>
        <v>RAM Module</v>
      </c>
      <c r="D262" t="str">
        <f>_xlfn.XLOOKUP(C262,product!$B$2:$B$20,product!$C$2:$C$20)</f>
        <v>Internal Hardware</v>
      </c>
      <c r="E262">
        <v>248</v>
      </c>
      <c r="F262">
        <v>3174</v>
      </c>
      <c r="G262">
        <v>787152</v>
      </c>
      <c r="H262">
        <v>44822</v>
      </c>
      <c r="I262" t="s">
        <v>64</v>
      </c>
      <c r="J262" t="s">
        <v>241</v>
      </c>
      <c r="K262" t="s">
        <v>248</v>
      </c>
      <c r="L262" t="s">
        <v>249</v>
      </c>
    </row>
    <row r="263" spans="1:12">
      <c r="A263">
        <v>208</v>
      </c>
      <c r="B263" t="s">
        <v>194</v>
      </c>
      <c r="C263" t="str">
        <f>_xlfn.XLOOKUP(B263,product!$A$2:$A$20,product!$B$2:$B$20)</f>
        <v>RAM Module</v>
      </c>
      <c r="D263" t="str">
        <f>_xlfn.XLOOKUP(C263,product!$B$2:$B$20,product!$C$2:$C$20)</f>
        <v>Internal Hardware</v>
      </c>
      <c r="E263">
        <v>270</v>
      </c>
      <c r="F263">
        <v>2407</v>
      </c>
      <c r="G263">
        <v>649890</v>
      </c>
      <c r="H263">
        <v>44823</v>
      </c>
      <c r="I263" t="s">
        <v>254</v>
      </c>
      <c r="J263" t="s">
        <v>238</v>
      </c>
      <c r="K263" t="s">
        <v>248</v>
      </c>
      <c r="L263" t="s">
        <v>251</v>
      </c>
    </row>
    <row r="264" spans="1:12">
      <c r="A264">
        <v>257</v>
      </c>
      <c r="B264" t="s">
        <v>191</v>
      </c>
      <c r="C264" t="str">
        <f>_xlfn.XLOOKUP(B264,product!$A$2:$A$20,product!$B$2:$B$20)</f>
        <v>Graphics Card</v>
      </c>
      <c r="D264" t="str">
        <f>_xlfn.XLOOKUP(C264,product!$B$2:$B$20,product!$C$2:$C$20)</f>
        <v>Internal Hardware</v>
      </c>
      <c r="E264">
        <v>258</v>
      </c>
      <c r="F264">
        <v>3763</v>
      </c>
      <c r="G264">
        <v>970854</v>
      </c>
      <c r="H264">
        <v>44824</v>
      </c>
      <c r="I264" t="s">
        <v>256</v>
      </c>
      <c r="J264" t="s">
        <v>238</v>
      </c>
      <c r="K264" t="s">
        <v>235</v>
      </c>
      <c r="L264" t="s">
        <v>252</v>
      </c>
    </row>
    <row r="265" spans="1:12">
      <c r="A265">
        <v>318</v>
      </c>
      <c r="B265" t="s">
        <v>201</v>
      </c>
      <c r="C265" t="str">
        <f>_xlfn.XLOOKUP(B265,product!$A$2:$A$20,product!$B$2:$B$20)</f>
        <v>Webcam</v>
      </c>
      <c r="D265" t="str">
        <f>_xlfn.XLOOKUP(C265,product!$B$2:$B$20,product!$C$2:$C$20)</f>
        <v>Peripherals</v>
      </c>
      <c r="E265">
        <v>105</v>
      </c>
      <c r="F265">
        <v>2882</v>
      </c>
      <c r="G265">
        <v>302610</v>
      </c>
      <c r="H265">
        <v>44825</v>
      </c>
      <c r="I265" t="s">
        <v>258</v>
      </c>
      <c r="J265" t="s">
        <v>238</v>
      </c>
      <c r="K265" t="s">
        <v>235</v>
      </c>
      <c r="L265" t="s">
        <v>253</v>
      </c>
    </row>
    <row r="266" spans="1:12">
      <c r="A266">
        <v>379</v>
      </c>
      <c r="B266" t="s">
        <v>183</v>
      </c>
      <c r="C266" t="str">
        <f>_xlfn.XLOOKUP(B266,product!$A$2:$A$20,product!$B$2:$B$20)</f>
        <v>Mouse</v>
      </c>
      <c r="D266" t="str">
        <f>_xlfn.XLOOKUP(C266,product!$B$2:$B$20,product!$C$2:$C$20)</f>
        <v>Input Device</v>
      </c>
      <c r="E266">
        <v>148</v>
      </c>
      <c r="F266">
        <v>4182</v>
      </c>
      <c r="G266">
        <v>618936</v>
      </c>
      <c r="H266">
        <v>44826</v>
      </c>
      <c r="I266" t="s">
        <v>260</v>
      </c>
      <c r="J266" t="s">
        <v>234</v>
      </c>
      <c r="K266" t="s">
        <v>239</v>
      </c>
      <c r="L266" t="s">
        <v>255</v>
      </c>
    </row>
    <row r="267" spans="1:12">
      <c r="A267">
        <v>281</v>
      </c>
      <c r="B267" t="s">
        <v>191</v>
      </c>
      <c r="C267" t="str">
        <f>_xlfn.XLOOKUP(B267,product!$A$2:$A$20,product!$B$2:$B$20)</f>
        <v>Graphics Card</v>
      </c>
      <c r="D267" t="str">
        <f>_xlfn.XLOOKUP(C267,product!$B$2:$B$20,product!$C$2:$C$20)</f>
        <v>Internal Hardware</v>
      </c>
      <c r="E267">
        <v>228</v>
      </c>
      <c r="F267">
        <v>2171</v>
      </c>
      <c r="G267">
        <v>494988</v>
      </c>
      <c r="H267">
        <v>44827</v>
      </c>
      <c r="I267" t="s">
        <v>233</v>
      </c>
      <c r="J267" t="s">
        <v>238</v>
      </c>
      <c r="K267" t="s">
        <v>235</v>
      </c>
      <c r="L267" t="s">
        <v>257</v>
      </c>
    </row>
    <row r="268" spans="1:12">
      <c r="A268">
        <v>412</v>
      </c>
      <c r="B268" t="s">
        <v>215</v>
      </c>
      <c r="C268" t="str">
        <f>_xlfn.XLOOKUP(B268,product!$A$2:$A$20,product!$B$2:$B$20)</f>
        <v>Speakers</v>
      </c>
      <c r="D268" t="str">
        <f>_xlfn.XLOOKUP(C268,product!$B$2:$B$20,product!$C$2:$C$20)</f>
        <v>Audio</v>
      </c>
      <c r="E268">
        <v>132</v>
      </c>
      <c r="F268">
        <v>3187</v>
      </c>
      <c r="G268">
        <v>420684</v>
      </c>
      <c r="H268">
        <v>44828</v>
      </c>
      <c r="I268" t="s">
        <v>237</v>
      </c>
      <c r="J268" t="s">
        <v>234</v>
      </c>
      <c r="K268" t="s">
        <v>239</v>
      </c>
      <c r="L268" t="s">
        <v>259</v>
      </c>
    </row>
    <row r="269" spans="1:12">
      <c r="A269">
        <v>454</v>
      </c>
      <c r="B269" t="s">
        <v>198</v>
      </c>
      <c r="C269" t="str">
        <f>_xlfn.XLOOKUP(B269,product!$A$2:$A$20,product!$B$2:$B$20)</f>
        <v>HDMI Cable</v>
      </c>
      <c r="D269" t="str">
        <f>_xlfn.XLOOKUP(C269,product!$B$2:$B$20,product!$C$2:$C$20)</f>
        <v>Cables &amp; Connectors</v>
      </c>
      <c r="E269">
        <v>117</v>
      </c>
      <c r="F269">
        <v>3133</v>
      </c>
      <c r="G269">
        <v>366561</v>
      </c>
      <c r="H269">
        <v>44829</v>
      </c>
      <c r="I269" t="s">
        <v>90</v>
      </c>
      <c r="J269" t="s">
        <v>241</v>
      </c>
      <c r="K269" t="s">
        <v>235</v>
      </c>
      <c r="L269" t="s">
        <v>261</v>
      </c>
    </row>
    <row r="270" spans="1:12">
      <c r="A270">
        <v>256</v>
      </c>
      <c r="B270" t="s">
        <v>208</v>
      </c>
      <c r="C270" t="str">
        <f>_xlfn.XLOOKUP(B270,product!$A$2:$A$20,product!$B$2:$B$20)</f>
        <v>Headset</v>
      </c>
      <c r="D270" t="str">
        <f>_xlfn.XLOOKUP(C270,product!$B$2:$B$20,product!$C$2:$C$20)</f>
        <v>Audio</v>
      </c>
      <c r="E270">
        <v>210</v>
      </c>
      <c r="F270">
        <v>3072</v>
      </c>
      <c r="G270">
        <v>645120</v>
      </c>
      <c r="H270">
        <v>44830</v>
      </c>
      <c r="I270" t="s">
        <v>243</v>
      </c>
      <c r="J270" t="s">
        <v>234</v>
      </c>
      <c r="K270" t="s">
        <v>248</v>
      </c>
      <c r="L270" t="s">
        <v>262</v>
      </c>
    </row>
    <row r="271" spans="1:12">
      <c r="A271">
        <v>223</v>
      </c>
      <c r="B271" t="s">
        <v>187</v>
      </c>
      <c r="C271" t="str">
        <f>_xlfn.XLOOKUP(B271,product!$A$2:$A$20,product!$B$2:$B$20)</f>
        <v>USB Flash Drive</v>
      </c>
      <c r="D271" t="str">
        <f>_xlfn.XLOOKUP(C271,product!$B$2:$B$20,product!$C$2:$C$20)</f>
        <v>Storage</v>
      </c>
      <c r="E271">
        <v>182</v>
      </c>
      <c r="F271">
        <v>2253</v>
      </c>
      <c r="G271">
        <v>410046</v>
      </c>
      <c r="H271">
        <v>44831</v>
      </c>
      <c r="I271" t="s">
        <v>245</v>
      </c>
      <c r="J271" t="s">
        <v>241</v>
      </c>
      <c r="K271" t="s">
        <v>248</v>
      </c>
      <c r="L271" t="s">
        <v>263</v>
      </c>
    </row>
    <row r="272" spans="1:12">
      <c r="A272">
        <v>482</v>
      </c>
      <c r="B272" t="s">
        <v>206</v>
      </c>
      <c r="C272" t="str">
        <f>_xlfn.XLOOKUP(B272,product!$A$2:$A$20,product!$B$2:$B$20)</f>
        <v>Cooling Pad</v>
      </c>
      <c r="D272" t="str">
        <f>_xlfn.XLOOKUP(C272,product!$B$2:$B$20,product!$C$2:$C$20)</f>
        <v>Laptop Accessories</v>
      </c>
      <c r="E272">
        <v>131</v>
      </c>
      <c r="F272">
        <v>3862</v>
      </c>
      <c r="G272">
        <v>505922</v>
      </c>
      <c r="H272">
        <v>44832</v>
      </c>
      <c r="I272" t="s">
        <v>247</v>
      </c>
      <c r="J272" t="s">
        <v>234</v>
      </c>
      <c r="K272" t="s">
        <v>248</v>
      </c>
      <c r="L272" t="s">
        <v>236</v>
      </c>
    </row>
    <row r="273" spans="1:12">
      <c r="A273">
        <v>267</v>
      </c>
      <c r="B273" t="s">
        <v>181</v>
      </c>
      <c r="C273" t="str">
        <f>_xlfn.XLOOKUP(B273,product!$A$2:$A$20,product!$B$2:$B$20)</f>
        <v>Keyboard</v>
      </c>
      <c r="D273" t="str">
        <f>_xlfn.XLOOKUP(C273,product!$B$2:$B$20,product!$C$2:$C$20)</f>
        <v>Input Device</v>
      </c>
      <c r="E273">
        <v>137</v>
      </c>
      <c r="F273">
        <v>3130</v>
      </c>
      <c r="G273">
        <v>428810</v>
      </c>
      <c r="H273">
        <v>44833</v>
      </c>
      <c r="I273" t="s">
        <v>250</v>
      </c>
      <c r="J273" t="s">
        <v>234</v>
      </c>
      <c r="K273" t="s">
        <v>235</v>
      </c>
      <c r="L273" t="s">
        <v>240</v>
      </c>
    </row>
    <row r="274" spans="1:12">
      <c r="A274">
        <v>315</v>
      </c>
      <c r="B274" t="s">
        <v>215</v>
      </c>
      <c r="C274" t="str">
        <f>_xlfn.XLOOKUP(B274,product!$A$2:$A$20,product!$B$2:$B$20)</f>
        <v>Speakers</v>
      </c>
      <c r="D274" t="str">
        <f>_xlfn.XLOOKUP(C274,product!$B$2:$B$20,product!$C$2:$C$20)</f>
        <v>Audio</v>
      </c>
      <c r="E274">
        <v>254</v>
      </c>
      <c r="F274">
        <v>3324</v>
      </c>
      <c r="G274">
        <v>844296</v>
      </c>
      <c r="H274">
        <v>44834</v>
      </c>
      <c r="I274" t="s">
        <v>64</v>
      </c>
      <c r="J274" t="s">
        <v>241</v>
      </c>
      <c r="K274" t="s">
        <v>248</v>
      </c>
      <c r="L274" t="s">
        <v>242</v>
      </c>
    </row>
    <row r="275" spans="1:12">
      <c r="A275">
        <v>442</v>
      </c>
      <c r="B275" t="s">
        <v>208</v>
      </c>
      <c r="C275" t="str">
        <f>_xlfn.XLOOKUP(B275,product!$A$2:$A$20,product!$B$2:$B$20)</f>
        <v>Headset</v>
      </c>
      <c r="D275" t="str">
        <f>_xlfn.XLOOKUP(C275,product!$B$2:$B$20,product!$C$2:$C$20)</f>
        <v>Audio</v>
      </c>
      <c r="E275">
        <v>233</v>
      </c>
      <c r="F275">
        <v>4744</v>
      </c>
      <c r="G275">
        <v>1105352</v>
      </c>
      <c r="H275">
        <v>44835</v>
      </c>
      <c r="I275" t="s">
        <v>245</v>
      </c>
      <c r="J275" t="s">
        <v>238</v>
      </c>
      <c r="K275" t="s">
        <v>248</v>
      </c>
      <c r="L275" t="s">
        <v>244</v>
      </c>
    </row>
    <row r="276" spans="1:12">
      <c r="A276">
        <v>409</v>
      </c>
      <c r="B276" t="s">
        <v>189</v>
      </c>
      <c r="C276" t="str">
        <f>_xlfn.XLOOKUP(B276,product!$A$2:$A$20,product!$B$2:$B$20)</f>
        <v>Monitor</v>
      </c>
      <c r="D276" t="str">
        <f>_xlfn.XLOOKUP(C276,product!$B$2:$B$20,product!$C$2:$C$20)</f>
        <v>Display</v>
      </c>
      <c r="E276">
        <v>297</v>
      </c>
      <c r="F276">
        <v>3586</v>
      </c>
      <c r="G276">
        <v>1065042</v>
      </c>
      <c r="H276">
        <v>44836</v>
      </c>
      <c r="I276" t="s">
        <v>247</v>
      </c>
      <c r="J276" t="s">
        <v>238</v>
      </c>
      <c r="K276" t="s">
        <v>235</v>
      </c>
      <c r="L276" t="s">
        <v>246</v>
      </c>
    </row>
    <row r="277" spans="1:12">
      <c r="A277">
        <v>438</v>
      </c>
      <c r="B277" t="s">
        <v>183</v>
      </c>
      <c r="C277" t="str">
        <f>_xlfn.XLOOKUP(B277,product!$A$2:$A$20,product!$B$2:$B$20)</f>
        <v>Mouse</v>
      </c>
      <c r="D277" t="str">
        <f>_xlfn.XLOOKUP(C277,product!$B$2:$B$20,product!$C$2:$C$20)</f>
        <v>Input Device</v>
      </c>
      <c r="E277">
        <v>150</v>
      </c>
      <c r="F277">
        <v>4015</v>
      </c>
      <c r="G277">
        <v>602250</v>
      </c>
      <c r="H277">
        <v>44837</v>
      </c>
      <c r="I277" t="s">
        <v>250</v>
      </c>
      <c r="J277" t="s">
        <v>238</v>
      </c>
      <c r="K277" t="s">
        <v>239</v>
      </c>
      <c r="L277" t="s">
        <v>249</v>
      </c>
    </row>
    <row r="278" spans="1:12">
      <c r="A278">
        <v>326</v>
      </c>
      <c r="B278" t="s">
        <v>213</v>
      </c>
      <c r="C278" t="str">
        <f>_xlfn.XLOOKUP(B278,product!$A$2:$A$20,product!$B$2:$B$20)</f>
        <v>Scanner</v>
      </c>
      <c r="D278" t="str">
        <f>_xlfn.XLOOKUP(C278,product!$B$2:$B$20,product!$C$2:$C$20)</f>
        <v>Peripherals</v>
      </c>
      <c r="E278">
        <v>183</v>
      </c>
      <c r="F278">
        <v>3831</v>
      </c>
      <c r="G278">
        <v>701073</v>
      </c>
      <c r="H278">
        <v>44838</v>
      </c>
      <c r="I278" t="s">
        <v>64</v>
      </c>
      <c r="J278" t="s">
        <v>238</v>
      </c>
      <c r="K278" t="s">
        <v>248</v>
      </c>
      <c r="L278" t="s">
        <v>251</v>
      </c>
    </row>
    <row r="279" spans="1:12">
      <c r="A279">
        <v>488</v>
      </c>
      <c r="B279" t="s">
        <v>198</v>
      </c>
      <c r="C279" t="str">
        <f>_xlfn.XLOOKUP(B279,product!$A$2:$A$20,product!$B$2:$B$20)</f>
        <v>HDMI Cable</v>
      </c>
      <c r="D279" t="str">
        <f>_xlfn.XLOOKUP(C279,product!$B$2:$B$20,product!$C$2:$C$20)</f>
        <v>Cables &amp; Connectors</v>
      </c>
      <c r="E279">
        <v>185</v>
      </c>
      <c r="F279">
        <v>3927</v>
      </c>
      <c r="G279">
        <v>726495</v>
      </c>
      <c r="H279">
        <v>44839</v>
      </c>
      <c r="I279" t="s">
        <v>59</v>
      </c>
      <c r="J279" t="s">
        <v>238</v>
      </c>
      <c r="K279" t="s">
        <v>235</v>
      </c>
      <c r="L279" t="s">
        <v>252</v>
      </c>
    </row>
    <row r="280" spans="1:12">
      <c r="A280">
        <v>359</v>
      </c>
      <c r="B280" t="s">
        <v>201</v>
      </c>
      <c r="C280" t="str">
        <f>_xlfn.XLOOKUP(B280,product!$A$2:$A$20,product!$B$2:$B$20)</f>
        <v>Webcam</v>
      </c>
      <c r="D280" t="str">
        <f>_xlfn.XLOOKUP(C280,product!$B$2:$B$20,product!$C$2:$C$20)</f>
        <v>Peripherals</v>
      </c>
      <c r="E280">
        <v>274</v>
      </c>
      <c r="F280">
        <v>2691</v>
      </c>
      <c r="G280">
        <v>737334</v>
      </c>
      <c r="H280">
        <v>44840</v>
      </c>
      <c r="I280" t="s">
        <v>254</v>
      </c>
      <c r="J280" t="s">
        <v>241</v>
      </c>
      <c r="K280" t="s">
        <v>235</v>
      </c>
      <c r="L280" t="s">
        <v>253</v>
      </c>
    </row>
    <row r="281" spans="1:12">
      <c r="A281">
        <v>404</v>
      </c>
      <c r="B281" t="s">
        <v>222</v>
      </c>
      <c r="C281" t="str">
        <f>_xlfn.XLOOKUP(B281,product!$A$2:$A$20,product!$B$2:$B$20)</f>
        <v>Laptop Bag</v>
      </c>
      <c r="D281" t="str">
        <f>_xlfn.XLOOKUP(C281,product!$B$2:$B$20,product!$C$2:$C$20)</f>
        <v>Laptop Accessories</v>
      </c>
      <c r="E281">
        <v>109</v>
      </c>
      <c r="F281">
        <v>4865</v>
      </c>
      <c r="G281">
        <v>530285</v>
      </c>
      <c r="H281">
        <v>44841</v>
      </c>
      <c r="I281" t="s">
        <v>256</v>
      </c>
      <c r="J281" t="s">
        <v>238</v>
      </c>
      <c r="K281" t="s">
        <v>239</v>
      </c>
      <c r="L281" t="s">
        <v>255</v>
      </c>
    </row>
    <row r="282" spans="1:12">
      <c r="A282">
        <v>307</v>
      </c>
      <c r="B282" t="s">
        <v>206</v>
      </c>
      <c r="C282" t="str">
        <f>_xlfn.XLOOKUP(B282,product!$A$2:$A$20,product!$B$2:$B$20)</f>
        <v>Cooling Pad</v>
      </c>
      <c r="D282" t="str">
        <f>_xlfn.XLOOKUP(C282,product!$B$2:$B$20,product!$C$2:$C$20)</f>
        <v>Laptop Accessories</v>
      </c>
      <c r="E282">
        <v>263</v>
      </c>
      <c r="F282">
        <v>2482</v>
      </c>
      <c r="G282">
        <v>652766</v>
      </c>
      <c r="H282">
        <v>44842</v>
      </c>
      <c r="I282" t="s">
        <v>258</v>
      </c>
      <c r="J282" t="s">
        <v>241</v>
      </c>
      <c r="K282" t="s">
        <v>235</v>
      </c>
      <c r="L282" t="s">
        <v>257</v>
      </c>
    </row>
    <row r="283" spans="1:12">
      <c r="A283">
        <v>407</v>
      </c>
      <c r="B283" t="s">
        <v>196</v>
      </c>
      <c r="C283" t="str">
        <f>_xlfn.XLOOKUP(B283,product!$A$2:$A$20,product!$B$2:$B$20)</f>
        <v>SSD</v>
      </c>
      <c r="D283" t="str">
        <f>_xlfn.XLOOKUP(C283,product!$B$2:$B$20,product!$C$2:$C$20)</f>
        <v>Internal Hardware</v>
      </c>
      <c r="E283">
        <v>259</v>
      </c>
      <c r="F283">
        <v>2653</v>
      </c>
      <c r="G283">
        <v>687127</v>
      </c>
      <c r="H283">
        <v>44843</v>
      </c>
      <c r="I283" t="s">
        <v>260</v>
      </c>
      <c r="J283" t="s">
        <v>241</v>
      </c>
      <c r="K283" t="s">
        <v>248</v>
      </c>
      <c r="L283" t="s">
        <v>259</v>
      </c>
    </row>
    <row r="284" spans="1:12">
      <c r="A284">
        <v>451</v>
      </c>
      <c r="B284" t="s">
        <v>198</v>
      </c>
      <c r="C284" t="str">
        <f>_xlfn.XLOOKUP(B284,product!$A$2:$A$20,product!$B$2:$B$20)</f>
        <v>HDMI Cable</v>
      </c>
      <c r="D284" t="str">
        <f>_xlfn.XLOOKUP(C284,product!$B$2:$B$20,product!$C$2:$C$20)</f>
        <v>Cables &amp; Connectors</v>
      </c>
      <c r="E284">
        <v>146</v>
      </c>
      <c r="F284">
        <v>4539</v>
      </c>
      <c r="G284">
        <v>662694</v>
      </c>
      <c r="H284">
        <v>44844</v>
      </c>
      <c r="I284" t="s">
        <v>233</v>
      </c>
      <c r="J284" t="s">
        <v>234</v>
      </c>
      <c r="K284" t="s">
        <v>248</v>
      </c>
      <c r="L284" t="s">
        <v>261</v>
      </c>
    </row>
    <row r="285" spans="1:12">
      <c r="A285">
        <v>201</v>
      </c>
      <c r="B285" t="s">
        <v>201</v>
      </c>
      <c r="C285" t="str">
        <f>_xlfn.XLOOKUP(B285,product!$A$2:$A$20,product!$B$2:$B$20)</f>
        <v>Webcam</v>
      </c>
      <c r="D285" t="str">
        <f>_xlfn.XLOOKUP(C285,product!$B$2:$B$20,product!$C$2:$C$20)</f>
        <v>Peripherals</v>
      </c>
      <c r="E285">
        <v>218</v>
      </c>
      <c r="F285">
        <v>2285</v>
      </c>
      <c r="G285">
        <v>498130</v>
      </c>
      <c r="H285">
        <v>44845</v>
      </c>
      <c r="I285" t="s">
        <v>237</v>
      </c>
      <c r="J285" t="s">
        <v>238</v>
      </c>
      <c r="K285" t="s">
        <v>248</v>
      </c>
      <c r="L285" t="s">
        <v>262</v>
      </c>
    </row>
    <row r="286" spans="1:12">
      <c r="A286">
        <v>480</v>
      </c>
      <c r="B286" t="s">
        <v>181</v>
      </c>
      <c r="C286" t="str">
        <f>_xlfn.XLOOKUP(B286,product!$A$2:$A$20,product!$B$2:$B$20)</f>
        <v>Keyboard</v>
      </c>
      <c r="D286" t="str">
        <f>_xlfn.XLOOKUP(C286,product!$B$2:$B$20,product!$C$2:$C$20)</f>
        <v>Input Device</v>
      </c>
      <c r="E286">
        <v>283</v>
      </c>
      <c r="F286">
        <v>4452</v>
      </c>
      <c r="G286">
        <v>1259916</v>
      </c>
      <c r="H286">
        <v>44846</v>
      </c>
      <c r="I286" t="s">
        <v>90</v>
      </c>
      <c r="J286" t="s">
        <v>241</v>
      </c>
      <c r="K286" t="s">
        <v>239</v>
      </c>
      <c r="L286" t="s">
        <v>263</v>
      </c>
    </row>
    <row r="287" spans="1:12">
      <c r="A287">
        <v>479</v>
      </c>
      <c r="B287" t="s">
        <v>211</v>
      </c>
      <c r="C287" t="str">
        <f>_xlfn.XLOOKUP(B287,product!$A$2:$A$20,product!$B$2:$B$20)</f>
        <v>Printer</v>
      </c>
      <c r="D287" t="str">
        <f>_xlfn.XLOOKUP(C287,product!$B$2:$B$20,product!$C$2:$C$20)</f>
        <v>Peripherals</v>
      </c>
      <c r="E287">
        <v>146</v>
      </c>
      <c r="F287">
        <v>3843</v>
      </c>
      <c r="G287">
        <v>561078</v>
      </c>
      <c r="H287">
        <v>44847</v>
      </c>
      <c r="I287" t="s">
        <v>243</v>
      </c>
      <c r="J287" t="s">
        <v>238</v>
      </c>
      <c r="K287" t="s">
        <v>248</v>
      </c>
      <c r="L287" t="s">
        <v>236</v>
      </c>
    </row>
    <row r="288" spans="1:12">
      <c r="A288">
        <v>302</v>
      </c>
      <c r="B288" t="s">
        <v>198</v>
      </c>
      <c r="C288" t="str">
        <f>_xlfn.XLOOKUP(B288,product!$A$2:$A$20,product!$B$2:$B$20)</f>
        <v>HDMI Cable</v>
      </c>
      <c r="D288" t="str">
        <f>_xlfn.XLOOKUP(C288,product!$B$2:$B$20,product!$C$2:$C$20)</f>
        <v>Cables &amp; Connectors</v>
      </c>
      <c r="E288">
        <v>103</v>
      </c>
      <c r="F288">
        <v>4750</v>
      </c>
      <c r="G288">
        <v>489250</v>
      </c>
      <c r="H288">
        <v>44848</v>
      </c>
      <c r="I288" t="s">
        <v>245</v>
      </c>
      <c r="J288" t="s">
        <v>241</v>
      </c>
      <c r="K288" t="s">
        <v>239</v>
      </c>
      <c r="L288" t="s">
        <v>240</v>
      </c>
    </row>
    <row r="289" spans="1:12">
      <c r="A289">
        <v>265</v>
      </c>
      <c r="B289" t="s">
        <v>206</v>
      </c>
      <c r="C289" t="str">
        <f>_xlfn.XLOOKUP(B289,product!$A$2:$A$20,product!$B$2:$B$20)</f>
        <v>Cooling Pad</v>
      </c>
      <c r="D289" t="str">
        <f>_xlfn.XLOOKUP(C289,product!$B$2:$B$20,product!$C$2:$C$20)</f>
        <v>Laptop Accessories</v>
      </c>
      <c r="E289">
        <v>268</v>
      </c>
      <c r="F289">
        <v>2384</v>
      </c>
      <c r="G289">
        <v>638912</v>
      </c>
      <c r="H289">
        <v>44849</v>
      </c>
      <c r="I289" t="s">
        <v>247</v>
      </c>
      <c r="J289" t="s">
        <v>234</v>
      </c>
      <c r="K289" t="s">
        <v>235</v>
      </c>
      <c r="L289" t="s">
        <v>242</v>
      </c>
    </row>
    <row r="290" spans="1:12">
      <c r="A290">
        <v>237</v>
      </c>
      <c r="B290" t="s">
        <v>213</v>
      </c>
      <c r="C290" t="str">
        <f>_xlfn.XLOOKUP(B290,product!$A$2:$A$20,product!$B$2:$B$20)</f>
        <v>Scanner</v>
      </c>
      <c r="D290" t="str">
        <f>_xlfn.XLOOKUP(C290,product!$B$2:$B$20,product!$C$2:$C$20)</f>
        <v>Peripherals</v>
      </c>
      <c r="E290">
        <v>201</v>
      </c>
      <c r="F290">
        <v>4028</v>
      </c>
      <c r="G290">
        <v>809628</v>
      </c>
      <c r="H290">
        <v>44850</v>
      </c>
      <c r="I290" t="s">
        <v>250</v>
      </c>
      <c r="J290" t="s">
        <v>234</v>
      </c>
      <c r="K290" t="s">
        <v>235</v>
      </c>
      <c r="L290" t="s">
        <v>244</v>
      </c>
    </row>
    <row r="291" spans="1:12">
      <c r="A291">
        <v>220</v>
      </c>
      <c r="B291" t="s">
        <v>181</v>
      </c>
      <c r="C291" t="str">
        <f>_xlfn.XLOOKUP(B291,product!$A$2:$A$20,product!$B$2:$B$20)</f>
        <v>Keyboard</v>
      </c>
      <c r="D291" t="str">
        <f>_xlfn.XLOOKUP(C291,product!$B$2:$B$20,product!$C$2:$C$20)</f>
        <v>Input Device</v>
      </c>
      <c r="E291">
        <v>134</v>
      </c>
      <c r="F291">
        <v>3712</v>
      </c>
      <c r="G291">
        <v>497408</v>
      </c>
      <c r="H291">
        <v>44851</v>
      </c>
      <c r="I291" t="s">
        <v>64</v>
      </c>
      <c r="J291" t="s">
        <v>241</v>
      </c>
      <c r="K291" t="s">
        <v>235</v>
      </c>
      <c r="L291" t="s">
        <v>246</v>
      </c>
    </row>
    <row r="292" spans="1:12">
      <c r="A292">
        <v>343</v>
      </c>
      <c r="B292" t="s">
        <v>206</v>
      </c>
      <c r="C292" t="str">
        <f>_xlfn.XLOOKUP(B292,product!$A$2:$A$20,product!$B$2:$B$20)</f>
        <v>Cooling Pad</v>
      </c>
      <c r="D292" t="str">
        <f>_xlfn.XLOOKUP(C292,product!$B$2:$B$20,product!$C$2:$C$20)</f>
        <v>Laptop Accessories</v>
      </c>
      <c r="E292">
        <v>253</v>
      </c>
      <c r="F292">
        <v>2107</v>
      </c>
      <c r="G292">
        <v>533071</v>
      </c>
      <c r="H292">
        <v>44852</v>
      </c>
      <c r="I292" t="s">
        <v>254</v>
      </c>
      <c r="J292" t="s">
        <v>241</v>
      </c>
      <c r="K292" t="s">
        <v>248</v>
      </c>
      <c r="L292" t="s">
        <v>249</v>
      </c>
    </row>
    <row r="293" spans="1:12">
      <c r="A293">
        <v>323</v>
      </c>
      <c r="B293" t="s">
        <v>211</v>
      </c>
      <c r="C293" t="str">
        <f>_xlfn.XLOOKUP(B293,product!$A$2:$A$20,product!$B$2:$B$20)</f>
        <v>Printer</v>
      </c>
      <c r="D293" t="str">
        <f>_xlfn.XLOOKUP(C293,product!$B$2:$B$20,product!$C$2:$C$20)</f>
        <v>Peripherals</v>
      </c>
      <c r="E293">
        <v>258</v>
      </c>
      <c r="F293">
        <v>3103</v>
      </c>
      <c r="G293">
        <v>800574</v>
      </c>
      <c r="H293">
        <v>44853</v>
      </c>
      <c r="I293" t="s">
        <v>256</v>
      </c>
      <c r="J293" t="s">
        <v>234</v>
      </c>
      <c r="K293" t="s">
        <v>248</v>
      </c>
      <c r="L293" t="s">
        <v>251</v>
      </c>
    </row>
    <row r="294" spans="1:12">
      <c r="A294">
        <v>310</v>
      </c>
      <c r="B294" t="s">
        <v>194</v>
      </c>
      <c r="C294" t="str">
        <f>_xlfn.XLOOKUP(B294,product!$A$2:$A$20,product!$B$2:$B$20)</f>
        <v>RAM Module</v>
      </c>
      <c r="D294" t="str">
        <f>_xlfn.XLOOKUP(C294,product!$B$2:$B$20,product!$C$2:$C$20)</f>
        <v>Internal Hardware</v>
      </c>
      <c r="E294">
        <v>211</v>
      </c>
      <c r="F294">
        <v>4175</v>
      </c>
      <c r="G294">
        <v>880925</v>
      </c>
      <c r="H294">
        <v>44854</v>
      </c>
      <c r="I294" t="s">
        <v>258</v>
      </c>
      <c r="J294" t="s">
        <v>234</v>
      </c>
      <c r="K294" t="s">
        <v>239</v>
      </c>
      <c r="L294" t="s">
        <v>252</v>
      </c>
    </row>
    <row r="295" spans="1:12">
      <c r="A295">
        <v>415</v>
      </c>
      <c r="B295" t="s">
        <v>194</v>
      </c>
      <c r="C295" t="str">
        <f>_xlfn.XLOOKUP(B295,product!$A$2:$A$20,product!$B$2:$B$20)</f>
        <v>RAM Module</v>
      </c>
      <c r="D295" t="str">
        <f>_xlfn.XLOOKUP(C295,product!$B$2:$B$20,product!$C$2:$C$20)</f>
        <v>Internal Hardware</v>
      </c>
      <c r="E295">
        <v>253</v>
      </c>
      <c r="F295">
        <v>4983</v>
      </c>
      <c r="G295">
        <v>1260699</v>
      </c>
      <c r="H295">
        <v>44855</v>
      </c>
      <c r="I295" t="s">
        <v>260</v>
      </c>
      <c r="J295" t="s">
        <v>238</v>
      </c>
      <c r="K295" t="s">
        <v>235</v>
      </c>
      <c r="L295" t="s">
        <v>253</v>
      </c>
    </row>
    <row r="296" spans="1:12">
      <c r="A296">
        <v>379</v>
      </c>
      <c r="B296" t="s">
        <v>203</v>
      </c>
      <c r="C296" t="str">
        <f>_xlfn.XLOOKUP(B296,product!$A$2:$A$20,product!$B$2:$B$20)</f>
        <v>Laptop Stand</v>
      </c>
      <c r="D296" t="str">
        <f>_xlfn.XLOOKUP(C296,product!$B$2:$B$20,product!$C$2:$C$20)</f>
        <v>Laptop Accessories</v>
      </c>
      <c r="E296">
        <v>154</v>
      </c>
      <c r="F296">
        <v>3091</v>
      </c>
      <c r="G296">
        <v>476014</v>
      </c>
      <c r="H296">
        <v>44856</v>
      </c>
      <c r="I296" t="s">
        <v>233</v>
      </c>
      <c r="J296" t="s">
        <v>238</v>
      </c>
      <c r="K296" t="s">
        <v>235</v>
      </c>
      <c r="L296" t="s">
        <v>255</v>
      </c>
    </row>
    <row r="297" spans="1:12">
      <c r="A297">
        <v>407</v>
      </c>
      <c r="B297" t="s">
        <v>183</v>
      </c>
      <c r="C297" t="str">
        <f>_xlfn.XLOOKUP(B297,product!$A$2:$A$20,product!$B$2:$B$20)</f>
        <v>Mouse</v>
      </c>
      <c r="D297" t="str">
        <f>_xlfn.XLOOKUP(C297,product!$B$2:$B$20,product!$C$2:$C$20)</f>
        <v>Input Device</v>
      </c>
      <c r="E297">
        <v>224</v>
      </c>
      <c r="F297">
        <v>3495</v>
      </c>
      <c r="G297">
        <v>782880</v>
      </c>
      <c r="H297">
        <v>44857</v>
      </c>
      <c r="I297" t="s">
        <v>237</v>
      </c>
      <c r="J297" t="s">
        <v>238</v>
      </c>
      <c r="K297" t="s">
        <v>248</v>
      </c>
      <c r="L297" t="s">
        <v>257</v>
      </c>
    </row>
    <row r="298" spans="1:12">
      <c r="A298">
        <v>441</v>
      </c>
      <c r="B298" t="s">
        <v>208</v>
      </c>
      <c r="C298" t="str">
        <f>_xlfn.XLOOKUP(B298,product!$A$2:$A$20,product!$B$2:$B$20)</f>
        <v>Headset</v>
      </c>
      <c r="D298" t="str">
        <f>_xlfn.XLOOKUP(C298,product!$B$2:$B$20,product!$C$2:$C$20)</f>
        <v>Audio</v>
      </c>
      <c r="E298">
        <v>236</v>
      </c>
      <c r="F298">
        <v>3469</v>
      </c>
      <c r="G298">
        <v>818684</v>
      </c>
      <c r="H298">
        <v>44858</v>
      </c>
      <c r="I298" t="s">
        <v>90</v>
      </c>
      <c r="J298" t="s">
        <v>238</v>
      </c>
      <c r="K298" t="s">
        <v>235</v>
      </c>
      <c r="L298" t="s">
        <v>259</v>
      </c>
    </row>
    <row r="299" spans="1:12">
      <c r="A299">
        <v>381</v>
      </c>
      <c r="B299" t="s">
        <v>208</v>
      </c>
      <c r="C299" t="str">
        <f>_xlfn.XLOOKUP(B299,product!$A$2:$A$20,product!$B$2:$B$20)</f>
        <v>Headset</v>
      </c>
      <c r="D299" t="str">
        <f>_xlfn.XLOOKUP(C299,product!$B$2:$B$20,product!$C$2:$C$20)</f>
        <v>Audio</v>
      </c>
      <c r="E299">
        <v>159</v>
      </c>
      <c r="F299">
        <v>4928</v>
      </c>
      <c r="G299">
        <v>783552</v>
      </c>
      <c r="H299">
        <v>44859</v>
      </c>
      <c r="I299" t="s">
        <v>243</v>
      </c>
      <c r="J299" t="s">
        <v>234</v>
      </c>
      <c r="K299" t="s">
        <v>235</v>
      </c>
      <c r="L299" t="s">
        <v>261</v>
      </c>
    </row>
    <row r="300" spans="1:12">
      <c r="A300">
        <v>484</v>
      </c>
      <c r="B300" t="s">
        <v>208</v>
      </c>
      <c r="C300" t="str">
        <f>_xlfn.XLOOKUP(B300,product!$A$2:$A$20,product!$B$2:$B$20)</f>
        <v>Headset</v>
      </c>
      <c r="D300" t="str">
        <f>_xlfn.XLOOKUP(C300,product!$B$2:$B$20,product!$C$2:$C$20)</f>
        <v>Audio</v>
      </c>
      <c r="E300">
        <v>180</v>
      </c>
      <c r="F300">
        <v>3858</v>
      </c>
      <c r="G300">
        <v>694440</v>
      </c>
      <c r="H300">
        <v>44860</v>
      </c>
      <c r="I300" t="s">
        <v>245</v>
      </c>
      <c r="J300" t="s">
        <v>241</v>
      </c>
      <c r="K300" t="s">
        <v>248</v>
      </c>
      <c r="L300" t="s">
        <v>262</v>
      </c>
    </row>
    <row r="301" spans="1:12">
      <c r="A301">
        <v>248</v>
      </c>
      <c r="B301" t="s">
        <v>183</v>
      </c>
      <c r="C301" t="str">
        <f>_xlfn.XLOOKUP(B301,product!$A$2:$A$20,product!$B$2:$B$20)</f>
        <v>Mouse</v>
      </c>
      <c r="D301" t="str">
        <f>_xlfn.XLOOKUP(C301,product!$B$2:$B$20,product!$C$2:$C$20)</f>
        <v>Input Device</v>
      </c>
      <c r="E301">
        <v>261</v>
      </c>
      <c r="F301">
        <v>3264</v>
      </c>
      <c r="G301">
        <v>851904</v>
      </c>
      <c r="H301">
        <v>44861</v>
      </c>
      <c r="I301" t="s">
        <v>247</v>
      </c>
      <c r="J301" t="s">
        <v>241</v>
      </c>
      <c r="K301" t="s">
        <v>235</v>
      </c>
      <c r="L301" t="s">
        <v>263</v>
      </c>
    </row>
    <row r="302" spans="1:12">
      <c r="A302">
        <v>206</v>
      </c>
      <c r="B302" t="s">
        <v>203</v>
      </c>
      <c r="C302" t="str">
        <f>_xlfn.XLOOKUP(B302,product!$A$2:$A$20,product!$B$2:$B$20)</f>
        <v>Laptop Stand</v>
      </c>
      <c r="D302" t="str">
        <f>_xlfn.XLOOKUP(C302,product!$B$2:$B$20,product!$C$2:$C$20)</f>
        <v>Laptop Accessories</v>
      </c>
      <c r="E302">
        <v>288</v>
      </c>
      <c r="F302">
        <v>2389</v>
      </c>
      <c r="G302">
        <v>688032</v>
      </c>
      <c r="H302">
        <v>44862</v>
      </c>
      <c r="I302" t="s">
        <v>250</v>
      </c>
      <c r="J302" t="s">
        <v>234</v>
      </c>
      <c r="K302" t="s">
        <v>235</v>
      </c>
      <c r="L302" t="s">
        <v>236</v>
      </c>
    </row>
    <row r="303" spans="1:12">
      <c r="A303">
        <v>465</v>
      </c>
      <c r="B303" t="s">
        <v>196</v>
      </c>
      <c r="C303" t="str">
        <f>_xlfn.XLOOKUP(B303,product!$A$2:$A$20,product!$B$2:$B$20)</f>
        <v>SSD</v>
      </c>
      <c r="D303" t="str">
        <f>_xlfn.XLOOKUP(C303,product!$B$2:$B$20,product!$C$2:$C$20)</f>
        <v>Internal Hardware</v>
      </c>
      <c r="E303">
        <v>226</v>
      </c>
      <c r="F303">
        <v>4196</v>
      </c>
      <c r="G303">
        <v>948296</v>
      </c>
      <c r="H303">
        <v>44863</v>
      </c>
      <c r="I303" t="s">
        <v>64</v>
      </c>
      <c r="J303" t="s">
        <v>238</v>
      </c>
      <c r="K303" t="s">
        <v>239</v>
      </c>
      <c r="L303" t="s">
        <v>240</v>
      </c>
    </row>
    <row r="304" spans="1:12">
      <c r="A304">
        <v>484</v>
      </c>
      <c r="B304" t="s">
        <v>217</v>
      </c>
      <c r="C304" t="str">
        <f>_xlfn.XLOOKUP(B304,product!$A$2:$A$20,product!$B$2:$B$20)</f>
        <v>Wireless Router</v>
      </c>
      <c r="D304" t="str">
        <f>_xlfn.XLOOKUP(C304,product!$B$2:$B$20,product!$C$2:$C$20)</f>
        <v>Network</v>
      </c>
      <c r="E304">
        <v>128</v>
      </c>
      <c r="F304">
        <v>2481</v>
      </c>
      <c r="G304">
        <v>317568</v>
      </c>
      <c r="H304">
        <v>44864</v>
      </c>
      <c r="I304" t="s">
        <v>245</v>
      </c>
      <c r="J304" t="s">
        <v>241</v>
      </c>
      <c r="K304" t="s">
        <v>235</v>
      </c>
      <c r="L304" t="s">
        <v>242</v>
      </c>
    </row>
    <row r="305" spans="1:12">
      <c r="A305">
        <v>340</v>
      </c>
      <c r="B305" t="s">
        <v>189</v>
      </c>
      <c r="C305" t="str">
        <f>_xlfn.XLOOKUP(B305,product!$A$2:$A$20,product!$B$2:$B$20)</f>
        <v>Monitor</v>
      </c>
      <c r="D305" t="str">
        <f>_xlfn.XLOOKUP(C305,product!$B$2:$B$20,product!$C$2:$C$20)</f>
        <v>Display</v>
      </c>
      <c r="E305">
        <v>290</v>
      </c>
      <c r="F305">
        <v>2943</v>
      </c>
      <c r="G305">
        <v>853470</v>
      </c>
      <c r="H305">
        <v>44865</v>
      </c>
      <c r="I305" t="s">
        <v>247</v>
      </c>
      <c r="J305" t="s">
        <v>234</v>
      </c>
      <c r="K305" t="s">
        <v>239</v>
      </c>
      <c r="L305" t="s">
        <v>244</v>
      </c>
    </row>
    <row r="306" spans="1:12">
      <c r="A306">
        <v>377</v>
      </c>
      <c r="B306" t="s">
        <v>203</v>
      </c>
      <c r="C306" t="str">
        <f>_xlfn.XLOOKUP(B306,product!$A$2:$A$20,product!$B$2:$B$20)</f>
        <v>Laptop Stand</v>
      </c>
      <c r="D306" t="str">
        <f>_xlfn.XLOOKUP(C306,product!$B$2:$B$20,product!$C$2:$C$20)</f>
        <v>Laptop Accessories</v>
      </c>
      <c r="E306">
        <v>174</v>
      </c>
      <c r="F306">
        <v>2158</v>
      </c>
      <c r="G306">
        <v>375492</v>
      </c>
      <c r="H306">
        <v>44866</v>
      </c>
      <c r="I306" t="s">
        <v>250</v>
      </c>
      <c r="J306" t="s">
        <v>234</v>
      </c>
      <c r="K306" t="s">
        <v>235</v>
      </c>
      <c r="L306" t="s">
        <v>246</v>
      </c>
    </row>
    <row r="307" spans="1:12">
      <c r="A307">
        <v>359</v>
      </c>
      <c r="B307" t="s">
        <v>191</v>
      </c>
      <c r="C307" t="str">
        <f>_xlfn.XLOOKUP(B307,product!$A$2:$A$20,product!$B$2:$B$20)</f>
        <v>Graphics Card</v>
      </c>
      <c r="D307" t="str">
        <f>_xlfn.XLOOKUP(C307,product!$B$2:$B$20,product!$C$2:$C$20)</f>
        <v>Internal Hardware</v>
      </c>
      <c r="E307">
        <v>198</v>
      </c>
      <c r="F307">
        <v>3492</v>
      </c>
      <c r="G307">
        <v>691416</v>
      </c>
      <c r="H307">
        <v>44867</v>
      </c>
      <c r="I307" t="s">
        <v>64</v>
      </c>
      <c r="J307" t="s">
        <v>238</v>
      </c>
      <c r="K307" t="s">
        <v>248</v>
      </c>
      <c r="L307" t="s">
        <v>249</v>
      </c>
    </row>
    <row r="308" spans="1:12">
      <c r="A308">
        <v>439</v>
      </c>
      <c r="B308" t="s">
        <v>181</v>
      </c>
      <c r="C308" t="str">
        <f>_xlfn.XLOOKUP(B308,product!$A$2:$A$20,product!$B$2:$B$20)</f>
        <v>Keyboard</v>
      </c>
      <c r="D308" t="str">
        <f>_xlfn.XLOOKUP(C308,product!$B$2:$B$20,product!$C$2:$C$20)</f>
        <v>Input Device</v>
      </c>
      <c r="E308">
        <v>186</v>
      </c>
      <c r="F308">
        <v>2187</v>
      </c>
      <c r="G308">
        <v>406782</v>
      </c>
      <c r="H308">
        <v>44868</v>
      </c>
      <c r="I308" t="s">
        <v>59</v>
      </c>
      <c r="J308" t="s">
        <v>234</v>
      </c>
      <c r="K308" t="s">
        <v>239</v>
      </c>
      <c r="L308" t="s">
        <v>251</v>
      </c>
    </row>
    <row r="309" spans="1:12">
      <c r="A309">
        <v>485</v>
      </c>
      <c r="B309" t="s">
        <v>189</v>
      </c>
      <c r="C309" t="str">
        <f>_xlfn.XLOOKUP(B309,product!$A$2:$A$20,product!$B$2:$B$20)</f>
        <v>Monitor</v>
      </c>
      <c r="D309" t="str">
        <f>_xlfn.XLOOKUP(C309,product!$B$2:$B$20,product!$C$2:$C$20)</f>
        <v>Display</v>
      </c>
      <c r="E309">
        <v>194</v>
      </c>
      <c r="F309">
        <v>4154</v>
      </c>
      <c r="G309">
        <v>805876</v>
      </c>
      <c r="H309">
        <v>44869</v>
      </c>
      <c r="I309" t="s">
        <v>254</v>
      </c>
      <c r="J309" t="s">
        <v>238</v>
      </c>
      <c r="K309" t="s">
        <v>235</v>
      </c>
      <c r="L309" t="s">
        <v>252</v>
      </c>
    </row>
    <row r="310" spans="1:12">
      <c r="A310">
        <v>380</v>
      </c>
      <c r="B310" t="s">
        <v>183</v>
      </c>
      <c r="C310" t="str">
        <f>_xlfn.XLOOKUP(B310,product!$A$2:$A$20,product!$B$2:$B$20)</f>
        <v>Mouse</v>
      </c>
      <c r="D310" t="str">
        <f>_xlfn.XLOOKUP(C310,product!$B$2:$B$20,product!$C$2:$C$20)</f>
        <v>Input Device</v>
      </c>
      <c r="E310">
        <v>198</v>
      </c>
      <c r="F310">
        <v>4058</v>
      </c>
      <c r="G310">
        <v>803484</v>
      </c>
      <c r="H310">
        <v>44870</v>
      </c>
      <c r="I310" t="s">
        <v>256</v>
      </c>
      <c r="J310" t="s">
        <v>234</v>
      </c>
      <c r="K310" t="s">
        <v>248</v>
      </c>
      <c r="L310" t="s">
        <v>253</v>
      </c>
    </row>
    <row r="311" spans="1:12">
      <c r="A311">
        <v>381</v>
      </c>
      <c r="B311" t="s">
        <v>208</v>
      </c>
      <c r="C311" t="str">
        <f>_xlfn.XLOOKUP(B311,product!$A$2:$A$20,product!$B$2:$B$20)</f>
        <v>Headset</v>
      </c>
      <c r="D311" t="str">
        <f>_xlfn.XLOOKUP(C311,product!$B$2:$B$20,product!$C$2:$C$20)</f>
        <v>Audio</v>
      </c>
      <c r="E311">
        <v>190</v>
      </c>
      <c r="F311">
        <v>3383</v>
      </c>
      <c r="G311">
        <v>642770</v>
      </c>
      <c r="H311">
        <v>44871</v>
      </c>
      <c r="I311" t="s">
        <v>258</v>
      </c>
      <c r="J311" t="s">
        <v>234</v>
      </c>
      <c r="K311" t="s">
        <v>239</v>
      </c>
      <c r="L311" t="s">
        <v>255</v>
      </c>
    </row>
    <row r="312" spans="1:12">
      <c r="A312">
        <v>372</v>
      </c>
      <c r="B312" t="s">
        <v>184</v>
      </c>
      <c r="C312" t="str">
        <f>_xlfn.XLOOKUP(B312,product!$A$2:$A$20,product!$B$2:$B$20)</f>
        <v>Hard Drive</v>
      </c>
      <c r="D312" t="str">
        <f>_xlfn.XLOOKUP(C312,product!$B$2:$B$20,product!$C$2:$C$20)</f>
        <v>Storage</v>
      </c>
      <c r="E312">
        <v>186</v>
      </c>
      <c r="F312">
        <v>4947</v>
      </c>
      <c r="G312">
        <v>920142</v>
      </c>
      <c r="H312">
        <v>44872</v>
      </c>
      <c r="I312" t="s">
        <v>260</v>
      </c>
      <c r="J312" t="s">
        <v>238</v>
      </c>
      <c r="K312" t="s">
        <v>248</v>
      </c>
      <c r="L312" t="s">
        <v>257</v>
      </c>
    </row>
    <row r="313" spans="1:12">
      <c r="A313">
        <v>268</v>
      </c>
      <c r="B313" t="s">
        <v>189</v>
      </c>
      <c r="C313" t="str">
        <f>_xlfn.XLOOKUP(B313,product!$A$2:$A$20,product!$B$2:$B$20)</f>
        <v>Monitor</v>
      </c>
      <c r="D313" t="str">
        <f>_xlfn.XLOOKUP(C313,product!$B$2:$B$20,product!$C$2:$C$20)</f>
        <v>Display</v>
      </c>
      <c r="E313">
        <v>241</v>
      </c>
      <c r="F313">
        <v>4055</v>
      </c>
      <c r="G313">
        <v>977255</v>
      </c>
      <c r="H313">
        <v>44873</v>
      </c>
      <c r="I313" t="s">
        <v>233</v>
      </c>
      <c r="J313" t="s">
        <v>241</v>
      </c>
      <c r="K313" t="s">
        <v>235</v>
      </c>
      <c r="L313" t="s">
        <v>259</v>
      </c>
    </row>
    <row r="314" spans="1:12">
      <c r="A314">
        <v>387</v>
      </c>
      <c r="B314" t="s">
        <v>215</v>
      </c>
      <c r="C314" t="str">
        <f>_xlfn.XLOOKUP(B314,product!$A$2:$A$20,product!$B$2:$B$20)</f>
        <v>Speakers</v>
      </c>
      <c r="D314" t="str">
        <f>_xlfn.XLOOKUP(C314,product!$B$2:$B$20,product!$C$2:$C$20)</f>
        <v>Audio</v>
      </c>
      <c r="E314">
        <v>206</v>
      </c>
      <c r="F314">
        <v>2270</v>
      </c>
      <c r="G314">
        <v>467620</v>
      </c>
      <c r="H314">
        <v>44874</v>
      </c>
      <c r="I314" t="s">
        <v>237</v>
      </c>
      <c r="J314" t="s">
        <v>234</v>
      </c>
      <c r="K314" t="s">
        <v>248</v>
      </c>
      <c r="L314" t="s">
        <v>261</v>
      </c>
    </row>
    <row r="315" spans="1:12">
      <c r="A315">
        <v>436</v>
      </c>
      <c r="B315" t="s">
        <v>213</v>
      </c>
      <c r="C315" t="str">
        <f>_xlfn.XLOOKUP(B315,product!$A$2:$A$20,product!$B$2:$B$20)</f>
        <v>Scanner</v>
      </c>
      <c r="D315" t="str">
        <f>_xlfn.XLOOKUP(C315,product!$B$2:$B$20,product!$C$2:$C$20)</f>
        <v>Peripherals</v>
      </c>
      <c r="E315">
        <v>170</v>
      </c>
      <c r="F315">
        <v>3259</v>
      </c>
      <c r="G315">
        <v>554030</v>
      </c>
      <c r="H315">
        <v>44875</v>
      </c>
      <c r="I315" t="s">
        <v>90</v>
      </c>
      <c r="J315" t="s">
        <v>238</v>
      </c>
      <c r="K315" t="s">
        <v>235</v>
      </c>
      <c r="L315" t="s">
        <v>262</v>
      </c>
    </row>
    <row r="316" spans="1:12">
      <c r="A316">
        <v>280</v>
      </c>
      <c r="B316" t="s">
        <v>215</v>
      </c>
      <c r="C316" t="str">
        <f>_xlfn.XLOOKUP(B316,product!$A$2:$A$20,product!$B$2:$B$20)</f>
        <v>Speakers</v>
      </c>
      <c r="D316" t="str">
        <f>_xlfn.XLOOKUP(C316,product!$B$2:$B$20,product!$C$2:$C$20)</f>
        <v>Audio</v>
      </c>
      <c r="E316">
        <v>133</v>
      </c>
      <c r="F316">
        <v>2593</v>
      </c>
      <c r="G316">
        <v>344869</v>
      </c>
      <c r="H316">
        <v>44876</v>
      </c>
      <c r="I316" t="s">
        <v>243</v>
      </c>
      <c r="J316" t="s">
        <v>238</v>
      </c>
      <c r="K316" t="s">
        <v>248</v>
      </c>
      <c r="L316" t="s">
        <v>263</v>
      </c>
    </row>
    <row r="317" spans="1:12">
      <c r="A317">
        <v>494</v>
      </c>
      <c r="B317" t="s">
        <v>191</v>
      </c>
      <c r="C317" t="str">
        <f>_xlfn.XLOOKUP(B317,product!$A$2:$A$20,product!$B$2:$B$20)</f>
        <v>Graphics Card</v>
      </c>
      <c r="D317" t="str">
        <f>_xlfn.XLOOKUP(C317,product!$B$2:$B$20,product!$C$2:$C$20)</f>
        <v>Internal Hardware</v>
      </c>
      <c r="E317">
        <v>128</v>
      </c>
      <c r="F317">
        <v>2548</v>
      </c>
      <c r="G317">
        <v>326144</v>
      </c>
      <c r="H317">
        <v>44877</v>
      </c>
      <c r="I317" t="s">
        <v>245</v>
      </c>
      <c r="J317" t="s">
        <v>234</v>
      </c>
      <c r="K317" t="s">
        <v>235</v>
      </c>
      <c r="L317" t="s">
        <v>236</v>
      </c>
    </row>
    <row r="318" spans="1:12">
      <c r="A318">
        <v>430</v>
      </c>
      <c r="B318" t="s">
        <v>211</v>
      </c>
      <c r="C318" t="str">
        <f>_xlfn.XLOOKUP(B318,product!$A$2:$A$20,product!$B$2:$B$20)</f>
        <v>Printer</v>
      </c>
      <c r="D318" t="str">
        <f>_xlfn.XLOOKUP(C318,product!$B$2:$B$20,product!$C$2:$C$20)</f>
        <v>Peripherals</v>
      </c>
      <c r="E318">
        <v>289</v>
      </c>
      <c r="F318">
        <v>2251</v>
      </c>
      <c r="G318">
        <v>650539</v>
      </c>
      <c r="H318">
        <v>44878</v>
      </c>
      <c r="I318" t="s">
        <v>247</v>
      </c>
      <c r="J318" t="s">
        <v>238</v>
      </c>
      <c r="K318" t="s">
        <v>248</v>
      </c>
      <c r="L318" t="s">
        <v>240</v>
      </c>
    </row>
    <row r="319" spans="1:12">
      <c r="A319">
        <v>294</v>
      </c>
      <c r="B319" t="s">
        <v>220</v>
      </c>
      <c r="C319" t="str">
        <f>_xlfn.XLOOKUP(B319,product!$A$2:$A$20,product!$B$2:$B$20)</f>
        <v>Ethernet Cable</v>
      </c>
      <c r="D319" t="str">
        <f>_xlfn.XLOOKUP(C319,product!$B$2:$B$20,product!$C$2:$C$20)</f>
        <v>Cables &amp; Connectors</v>
      </c>
      <c r="E319">
        <v>105</v>
      </c>
      <c r="F319">
        <v>2265</v>
      </c>
      <c r="G319">
        <v>237825</v>
      </c>
      <c r="H319">
        <v>44879</v>
      </c>
      <c r="I319" t="s">
        <v>250</v>
      </c>
      <c r="J319" t="s">
        <v>234</v>
      </c>
      <c r="K319" t="s">
        <v>248</v>
      </c>
      <c r="L319" t="s">
        <v>242</v>
      </c>
    </row>
    <row r="320" spans="1:12">
      <c r="A320">
        <v>490</v>
      </c>
      <c r="B320" t="s">
        <v>220</v>
      </c>
      <c r="C320" t="str">
        <f>_xlfn.XLOOKUP(B320,product!$A$2:$A$20,product!$B$2:$B$20)</f>
        <v>Ethernet Cable</v>
      </c>
      <c r="D320" t="str">
        <f>_xlfn.XLOOKUP(C320,product!$B$2:$B$20,product!$C$2:$C$20)</f>
        <v>Cables &amp; Connectors</v>
      </c>
      <c r="E320">
        <v>223</v>
      </c>
      <c r="F320">
        <v>2215</v>
      </c>
      <c r="G320">
        <v>493945</v>
      </c>
      <c r="H320">
        <v>44880</v>
      </c>
      <c r="I320" t="s">
        <v>64</v>
      </c>
      <c r="J320" t="s">
        <v>238</v>
      </c>
      <c r="K320" t="s">
        <v>248</v>
      </c>
      <c r="L320" t="s">
        <v>244</v>
      </c>
    </row>
    <row r="321" spans="1:12">
      <c r="A321">
        <v>258</v>
      </c>
      <c r="B321" t="s">
        <v>215</v>
      </c>
      <c r="C321" t="str">
        <f>_xlfn.XLOOKUP(B321,product!$A$2:$A$20,product!$B$2:$B$20)</f>
        <v>Speakers</v>
      </c>
      <c r="D321" t="str">
        <f>_xlfn.XLOOKUP(C321,product!$B$2:$B$20,product!$C$2:$C$20)</f>
        <v>Audio</v>
      </c>
      <c r="E321">
        <v>276</v>
      </c>
      <c r="F321">
        <v>2085</v>
      </c>
      <c r="G321">
        <v>575460</v>
      </c>
      <c r="H321">
        <v>44881</v>
      </c>
      <c r="I321" t="s">
        <v>254</v>
      </c>
      <c r="J321" t="s">
        <v>238</v>
      </c>
      <c r="K321" t="s">
        <v>235</v>
      </c>
      <c r="L321" t="s">
        <v>246</v>
      </c>
    </row>
    <row r="322" spans="1:12">
      <c r="A322">
        <v>248</v>
      </c>
      <c r="B322" t="s">
        <v>222</v>
      </c>
      <c r="C322" t="str">
        <f>_xlfn.XLOOKUP(B322,product!$A$2:$A$20,product!$B$2:$B$20)</f>
        <v>Laptop Bag</v>
      </c>
      <c r="D322" t="str">
        <f>_xlfn.XLOOKUP(C322,product!$B$2:$B$20,product!$C$2:$C$20)</f>
        <v>Laptop Accessories</v>
      </c>
      <c r="E322">
        <v>300</v>
      </c>
      <c r="F322">
        <v>4712</v>
      </c>
      <c r="G322">
        <v>1413600</v>
      </c>
      <c r="H322">
        <v>44882</v>
      </c>
      <c r="I322" t="s">
        <v>256</v>
      </c>
      <c r="J322" t="s">
        <v>238</v>
      </c>
      <c r="K322" t="s">
        <v>248</v>
      </c>
      <c r="L322" t="s">
        <v>249</v>
      </c>
    </row>
    <row r="323" spans="1:12">
      <c r="A323">
        <v>477</v>
      </c>
      <c r="B323" t="s">
        <v>206</v>
      </c>
      <c r="C323" t="str">
        <f>_xlfn.XLOOKUP(B323,product!$A$2:$A$20,product!$B$2:$B$20)</f>
        <v>Cooling Pad</v>
      </c>
      <c r="D323" t="str">
        <f>_xlfn.XLOOKUP(C323,product!$B$2:$B$20,product!$C$2:$C$20)</f>
        <v>Laptop Accessories</v>
      </c>
      <c r="E323">
        <v>102</v>
      </c>
      <c r="F323">
        <v>2682</v>
      </c>
      <c r="G323">
        <v>273564</v>
      </c>
      <c r="H323">
        <v>44883</v>
      </c>
      <c r="I323" t="s">
        <v>258</v>
      </c>
      <c r="J323" t="s">
        <v>241</v>
      </c>
      <c r="K323" t="s">
        <v>239</v>
      </c>
      <c r="L323" t="s">
        <v>251</v>
      </c>
    </row>
    <row r="324" spans="1:12">
      <c r="A324">
        <v>349</v>
      </c>
      <c r="B324" t="s">
        <v>201</v>
      </c>
      <c r="C324" t="str">
        <f>_xlfn.XLOOKUP(B324,product!$A$2:$A$20,product!$B$2:$B$20)</f>
        <v>Webcam</v>
      </c>
      <c r="D324" t="str">
        <f>_xlfn.XLOOKUP(C324,product!$B$2:$B$20,product!$C$2:$C$20)</f>
        <v>Peripherals</v>
      </c>
      <c r="E324">
        <v>154</v>
      </c>
      <c r="F324">
        <v>2784</v>
      </c>
      <c r="G324">
        <v>428736</v>
      </c>
      <c r="H324">
        <v>44884</v>
      </c>
      <c r="I324" t="s">
        <v>260</v>
      </c>
      <c r="J324" t="s">
        <v>234</v>
      </c>
      <c r="K324" t="s">
        <v>239</v>
      </c>
      <c r="L324" t="s">
        <v>252</v>
      </c>
    </row>
    <row r="325" spans="1:12">
      <c r="A325">
        <v>334</v>
      </c>
      <c r="B325" t="s">
        <v>215</v>
      </c>
      <c r="C325" t="str">
        <f>_xlfn.XLOOKUP(B325,product!$A$2:$A$20,product!$B$2:$B$20)</f>
        <v>Speakers</v>
      </c>
      <c r="D325" t="str">
        <f>_xlfn.XLOOKUP(C325,product!$B$2:$B$20,product!$C$2:$C$20)</f>
        <v>Audio</v>
      </c>
      <c r="E325">
        <v>195</v>
      </c>
      <c r="F325">
        <v>3819</v>
      </c>
      <c r="G325">
        <v>744705</v>
      </c>
      <c r="H325">
        <v>44885</v>
      </c>
      <c r="I325" t="s">
        <v>233</v>
      </c>
      <c r="J325" t="s">
        <v>241</v>
      </c>
      <c r="K325" t="s">
        <v>239</v>
      </c>
      <c r="L325" t="s">
        <v>253</v>
      </c>
    </row>
    <row r="326" spans="1:12">
      <c r="A326">
        <v>351</v>
      </c>
      <c r="B326" t="s">
        <v>208</v>
      </c>
      <c r="C326" t="str">
        <f>_xlfn.XLOOKUP(B326,product!$A$2:$A$20,product!$B$2:$B$20)</f>
        <v>Headset</v>
      </c>
      <c r="D326" t="str">
        <f>_xlfn.XLOOKUP(C326,product!$B$2:$B$20,product!$C$2:$C$20)</f>
        <v>Audio</v>
      </c>
      <c r="E326">
        <v>155</v>
      </c>
      <c r="F326">
        <v>3278</v>
      </c>
      <c r="G326">
        <v>508090</v>
      </c>
      <c r="H326">
        <v>44886</v>
      </c>
      <c r="I326" t="s">
        <v>237</v>
      </c>
      <c r="J326" t="s">
        <v>234</v>
      </c>
      <c r="K326" t="s">
        <v>235</v>
      </c>
      <c r="L326" t="s">
        <v>255</v>
      </c>
    </row>
    <row r="327" spans="1:12">
      <c r="A327">
        <v>443</v>
      </c>
      <c r="B327" t="s">
        <v>194</v>
      </c>
      <c r="C327" t="str">
        <f>_xlfn.XLOOKUP(B327,product!$A$2:$A$20,product!$B$2:$B$20)</f>
        <v>RAM Module</v>
      </c>
      <c r="D327" t="str">
        <f>_xlfn.XLOOKUP(C327,product!$B$2:$B$20,product!$C$2:$C$20)</f>
        <v>Internal Hardware</v>
      </c>
      <c r="E327">
        <v>285</v>
      </c>
      <c r="F327">
        <v>2531</v>
      </c>
      <c r="G327">
        <v>721335</v>
      </c>
      <c r="H327">
        <v>44887</v>
      </c>
      <c r="I327" t="s">
        <v>90</v>
      </c>
      <c r="J327" t="s">
        <v>234</v>
      </c>
      <c r="K327" t="s">
        <v>235</v>
      </c>
      <c r="L327" t="s">
        <v>257</v>
      </c>
    </row>
    <row r="328" spans="1:12">
      <c r="A328">
        <v>334</v>
      </c>
      <c r="B328" t="s">
        <v>196</v>
      </c>
      <c r="C328" t="str">
        <f>_xlfn.XLOOKUP(B328,product!$A$2:$A$20,product!$B$2:$B$20)</f>
        <v>SSD</v>
      </c>
      <c r="D328" t="str">
        <f>_xlfn.XLOOKUP(C328,product!$B$2:$B$20,product!$C$2:$C$20)</f>
        <v>Internal Hardware</v>
      </c>
      <c r="E328">
        <v>151</v>
      </c>
      <c r="F328">
        <v>4888</v>
      </c>
      <c r="G328">
        <v>738088</v>
      </c>
      <c r="H328">
        <v>44888</v>
      </c>
      <c r="I328" t="s">
        <v>243</v>
      </c>
      <c r="J328" t="s">
        <v>234</v>
      </c>
      <c r="K328" t="s">
        <v>248</v>
      </c>
      <c r="L328" t="s">
        <v>259</v>
      </c>
    </row>
    <row r="329" spans="1:12">
      <c r="A329">
        <v>435</v>
      </c>
      <c r="B329" t="s">
        <v>220</v>
      </c>
      <c r="C329" t="str">
        <f>_xlfn.XLOOKUP(B329,product!$A$2:$A$20,product!$B$2:$B$20)</f>
        <v>Ethernet Cable</v>
      </c>
      <c r="D329" t="str">
        <f>_xlfn.XLOOKUP(C329,product!$B$2:$B$20,product!$C$2:$C$20)</f>
        <v>Cables &amp; Connectors</v>
      </c>
      <c r="E329">
        <v>149</v>
      </c>
      <c r="F329">
        <v>4012</v>
      </c>
      <c r="G329">
        <v>597788</v>
      </c>
      <c r="H329">
        <v>44889</v>
      </c>
      <c r="I329" t="s">
        <v>245</v>
      </c>
      <c r="J329" t="s">
        <v>241</v>
      </c>
      <c r="K329" t="s">
        <v>235</v>
      </c>
      <c r="L329" t="s">
        <v>261</v>
      </c>
    </row>
    <row r="330" spans="1:12">
      <c r="A330">
        <v>460</v>
      </c>
      <c r="B330" t="s">
        <v>208</v>
      </c>
      <c r="C330" t="str">
        <f>_xlfn.XLOOKUP(B330,product!$A$2:$A$20,product!$B$2:$B$20)</f>
        <v>Headset</v>
      </c>
      <c r="D330" t="str">
        <f>_xlfn.XLOOKUP(C330,product!$B$2:$B$20,product!$C$2:$C$20)</f>
        <v>Audio</v>
      </c>
      <c r="E330">
        <v>283</v>
      </c>
      <c r="F330">
        <v>3740</v>
      </c>
      <c r="G330">
        <v>1058420</v>
      </c>
      <c r="H330">
        <v>44890</v>
      </c>
      <c r="I330" t="s">
        <v>247</v>
      </c>
      <c r="J330" t="s">
        <v>234</v>
      </c>
      <c r="K330" t="s">
        <v>239</v>
      </c>
      <c r="L330" t="s">
        <v>262</v>
      </c>
    </row>
    <row r="331" spans="1:12">
      <c r="A331">
        <v>457</v>
      </c>
      <c r="B331" t="s">
        <v>211</v>
      </c>
      <c r="C331" t="str">
        <f>_xlfn.XLOOKUP(B331,product!$A$2:$A$20,product!$B$2:$B$20)</f>
        <v>Printer</v>
      </c>
      <c r="D331" t="str">
        <f>_xlfn.XLOOKUP(C331,product!$B$2:$B$20,product!$C$2:$C$20)</f>
        <v>Peripherals</v>
      </c>
      <c r="E331">
        <v>111</v>
      </c>
      <c r="F331">
        <v>3662</v>
      </c>
      <c r="G331">
        <v>406482</v>
      </c>
      <c r="H331">
        <v>44891</v>
      </c>
      <c r="I331" t="s">
        <v>250</v>
      </c>
      <c r="J331" t="s">
        <v>238</v>
      </c>
      <c r="K331" t="s">
        <v>235</v>
      </c>
      <c r="L331" t="s">
        <v>263</v>
      </c>
    </row>
    <row r="332" spans="1:12">
      <c r="A332">
        <v>482</v>
      </c>
      <c r="B332" t="s">
        <v>220</v>
      </c>
      <c r="C332" t="str">
        <f>_xlfn.XLOOKUP(B332,product!$A$2:$A$20,product!$B$2:$B$20)</f>
        <v>Ethernet Cable</v>
      </c>
      <c r="D332" t="str">
        <f>_xlfn.XLOOKUP(C332,product!$B$2:$B$20,product!$C$2:$C$20)</f>
        <v>Cables &amp; Connectors</v>
      </c>
      <c r="E332">
        <v>134</v>
      </c>
      <c r="F332">
        <v>2587</v>
      </c>
      <c r="G332">
        <v>346658</v>
      </c>
      <c r="H332">
        <v>44892</v>
      </c>
      <c r="I332" t="s">
        <v>64</v>
      </c>
      <c r="J332" t="s">
        <v>241</v>
      </c>
      <c r="K332" t="s">
        <v>248</v>
      </c>
      <c r="L332" t="s">
        <v>236</v>
      </c>
    </row>
    <row r="333" spans="1:12">
      <c r="A333">
        <v>326</v>
      </c>
      <c r="B333" t="s">
        <v>198</v>
      </c>
      <c r="C333" t="str">
        <f>_xlfn.XLOOKUP(B333,product!$A$2:$A$20,product!$B$2:$B$20)</f>
        <v>HDMI Cable</v>
      </c>
      <c r="D333" t="str">
        <f>_xlfn.XLOOKUP(C333,product!$B$2:$B$20,product!$C$2:$C$20)</f>
        <v>Cables &amp; Connectors</v>
      </c>
      <c r="E333">
        <v>286</v>
      </c>
      <c r="F333">
        <v>2286</v>
      </c>
      <c r="G333">
        <v>653796</v>
      </c>
      <c r="H333">
        <v>44893</v>
      </c>
      <c r="I333" t="s">
        <v>245</v>
      </c>
      <c r="J333" t="s">
        <v>241</v>
      </c>
      <c r="K333" t="s">
        <v>239</v>
      </c>
      <c r="L333" t="s">
        <v>240</v>
      </c>
    </row>
    <row r="334" spans="1:12">
      <c r="A334">
        <v>202</v>
      </c>
      <c r="B334" t="s">
        <v>184</v>
      </c>
      <c r="C334" t="str">
        <f>_xlfn.XLOOKUP(B334,product!$A$2:$A$20,product!$B$2:$B$20)</f>
        <v>Hard Drive</v>
      </c>
      <c r="D334" t="str">
        <f>_xlfn.XLOOKUP(C334,product!$B$2:$B$20,product!$C$2:$C$20)</f>
        <v>Storage</v>
      </c>
      <c r="E334">
        <v>196</v>
      </c>
      <c r="F334">
        <v>3320</v>
      </c>
      <c r="G334">
        <v>650720</v>
      </c>
      <c r="H334">
        <v>44894</v>
      </c>
      <c r="I334" t="s">
        <v>247</v>
      </c>
      <c r="J334" t="s">
        <v>238</v>
      </c>
      <c r="K334" t="s">
        <v>248</v>
      </c>
      <c r="L334" t="s">
        <v>242</v>
      </c>
    </row>
    <row r="335" spans="1:12">
      <c r="A335">
        <v>243</v>
      </c>
      <c r="B335" t="s">
        <v>189</v>
      </c>
      <c r="C335" t="str">
        <f>_xlfn.XLOOKUP(B335,product!$A$2:$A$20,product!$B$2:$B$20)</f>
        <v>Monitor</v>
      </c>
      <c r="D335" t="str">
        <f>_xlfn.XLOOKUP(C335,product!$B$2:$B$20,product!$C$2:$C$20)</f>
        <v>Display</v>
      </c>
      <c r="E335">
        <v>146</v>
      </c>
      <c r="F335">
        <v>2641</v>
      </c>
      <c r="G335">
        <v>385586</v>
      </c>
      <c r="H335">
        <v>44895</v>
      </c>
      <c r="I335" t="s">
        <v>250</v>
      </c>
      <c r="J335" t="s">
        <v>234</v>
      </c>
      <c r="K335" t="s">
        <v>239</v>
      </c>
      <c r="L335" t="s">
        <v>244</v>
      </c>
    </row>
    <row r="336" spans="1:12">
      <c r="A336">
        <v>272</v>
      </c>
      <c r="B336" t="s">
        <v>194</v>
      </c>
      <c r="C336" t="str">
        <f>_xlfn.XLOOKUP(B336,product!$A$2:$A$20,product!$B$2:$B$20)</f>
        <v>RAM Module</v>
      </c>
      <c r="D336" t="str">
        <f>_xlfn.XLOOKUP(C336,product!$B$2:$B$20,product!$C$2:$C$20)</f>
        <v>Internal Hardware</v>
      </c>
      <c r="E336">
        <v>155</v>
      </c>
      <c r="F336">
        <v>3026</v>
      </c>
      <c r="G336">
        <v>469030</v>
      </c>
      <c r="H336">
        <v>44896</v>
      </c>
      <c r="I336" t="s">
        <v>64</v>
      </c>
      <c r="J336" t="s">
        <v>241</v>
      </c>
      <c r="K336" t="s">
        <v>239</v>
      </c>
      <c r="L336" t="s">
        <v>246</v>
      </c>
    </row>
    <row r="337" spans="1:12">
      <c r="A337">
        <v>448</v>
      </c>
      <c r="B337" t="s">
        <v>211</v>
      </c>
      <c r="C337" t="str">
        <f>_xlfn.XLOOKUP(B337,product!$A$2:$A$20,product!$B$2:$B$20)</f>
        <v>Printer</v>
      </c>
      <c r="D337" t="str">
        <f>_xlfn.XLOOKUP(C337,product!$B$2:$B$20,product!$C$2:$C$20)</f>
        <v>Peripherals</v>
      </c>
      <c r="E337">
        <v>111</v>
      </c>
      <c r="F337">
        <v>2389</v>
      </c>
      <c r="G337">
        <v>265179</v>
      </c>
      <c r="H337">
        <v>44897</v>
      </c>
      <c r="I337" t="s">
        <v>59</v>
      </c>
      <c r="J337" t="s">
        <v>241</v>
      </c>
      <c r="K337" t="s">
        <v>248</v>
      </c>
      <c r="L337" t="s">
        <v>249</v>
      </c>
    </row>
    <row r="338" spans="1:12">
      <c r="A338">
        <v>374</v>
      </c>
      <c r="B338" t="s">
        <v>194</v>
      </c>
      <c r="C338" t="str">
        <f>_xlfn.XLOOKUP(B338,product!$A$2:$A$20,product!$B$2:$B$20)</f>
        <v>RAM Module</v>
      </c>
      <c r="D338" t="str">
        <f>_xlfn.XLOOKUP(C338,product!$B$2:$B$20,product!$C$2:$C$20)</f>
        <v>Internal Hardware</v>
      </c>
      <c r="E338">
        <v>285</v>
      </c>
      <c r="F338">
        <v>2453</v>
      </c>
      <c r="G338">
        <v>699105</v>
      </c>
      <c r="H338">
        <v>44898</v>
      </c>
      <c r="I338" t="s">
        <v>254</v>
      </c>
      <c r="J338" t="s">
        <v>234</v>
      </c>
      <c r="K338" t="s">
        <v>248</v>
      </c>
      <c r="L338" t="s">
        <v>251</v>
      </c>
    </row>
    <row r="339" spans="1:12">
      <c r="A339">
        <v>456</v>
      </c>
      <c r="B339" t="s">
        <v>206</v>
      </c>
      <c r="C339" t="str">
        <f>_xlfn.XLOOKUP(B339,product!$A$2:$A$20,product!$B$2:$B$20)</f>
        <v>Cooling Pad</v>
      </c>
      <c r="D339" t="str">
        <f>_xlfn.XLOOKUP(C339,product!$B$2:$B$20,product!$C$2:$C$20)</f>
        <v>Laptop Accessories</v>
      </c>
      <c r="E339">
        <v>186</v>
      </c>
      <c r="F339">
        <v>3460</v>
      </c>
      <c r="G339">
        <v>643560</v>
      </c>
      <c r="H339">
        <v>44899</v>
      </c>
      <c r="I339" t="s">
        <v>256</v>
      </c>
      <c r="J339" t="s">
        <v>234</v>
      </c>
      <c r="K339" t="s">
        <v>235</v>
      </c>
      <c r="L339" t="s">
        <v>252</v>
      </c>
    </row>
    <row r="340" spans="1:12">
      <c r="A340">
        <v>403</v>
      </c>
      <c r="B340" t="s">
        <v>187</v>
      </c>
      <c r="C340" t="str">
        <f>_xlfn.XLOOKUP(B340,product!$A$2:$A$20,product!$B$2:$B$20)</f>
        <v>USB Flash Drive</v>
      </c>
      <c r="D340" t="str">
        <f>_xlfn.XLOOKUP(C340,product!$B$2:$B$20,product!$C$2:$C$20)</f>
        <v>Storage</v>
      </c>
      <c r="E340">
        <v>300</v>
      </c>
      <c r="F340">
        <v>2430</v>
      </c>
      <c r="G340">
        <v>729000</v>
      </c>
      <c r="H340">
        <v>44900</v>
      </c>
      <c r="I340" t="s">
        <v>258</v>
      </c>
      <c r="J340" t="s">
        <v>234</v>
      </c>
      <c r="K340" t="s">
        <v>248</v>
      </c>
      <c r="L340" t="s">
        <v>253</v>
      </c>
    </row>
    <row r="341" spans="1:12">
      <c r="A341">
        <v>394</v>
      </c>
      <c r="B341" t="s">
        <v>213</v>
      </c>
      <c r="C341" t="str">
        <f>_xlfn.XLOOKUP(B341,product!$A$2:$A$20,product!$B$2:$B$20)</f>
        <v>Scanner</v>
      </c>
      <c r="D341" t="str">
        <f>_xlfn.XLOOKUP(C341,product!$B$2:$B$20,product!$C$2:$C$20)</f>
        <v>Peripherals</v>
      </c>
      <c r="E341">
        <v>151</v>
      </c>
      <c r="F341">
        <v>2731</v>
      </c>
      <c r="G341">
        <v>412381</v>
      </c>
      <c r="H341">
        <v>44901</v>
      </c>
      <c r="I341" t="s">
        <v>260</v>
      </c>
      <c r="J341" t="s">
        <v>241</v>
      </c>
      <c r="K341" t="s">
        <v>235</v>
      </c>
      <c r="L341" t="s">
        <v>255</v>
      </c>
    </row>
    <row r="342" spans="1:12">
      <c r="A342">
        <v>476</v>
      </c>
      <c r="B342" t="s">
        <v>220</v>
      </c>
      <c r="C342" t="str">
        <f>_xlfn.XLOOKUP(B342,product!$A$2:$A$20,product!$B$2:$B$20)</f>
        <v>Ethernet Cable</v>
      </c>
      <c r="D342" t="str">
        <f>_xlfn.XLOOKUP(C342,product!$B$2:$B$20,product!$C$2:$C$20)</f>
        <v>Cables &amp; Connectors</v>
      </c>
      <c r="E342">
        <v>100</v>
      </c>
      <c r="F342">
        <v>4486</v>
      </c>
      <c r="G342">
        <v>448600</v>
      </c>
      <c r="H342">
        <v>44902</v>
      </c>
      <c r="I342" t="s">
        <v>233</v>
      </c>
      <c r="J342" t="s">
        <v>234</v>
      </c>
      <c r="K342" t="s">
        <v>239</v>
      </c>
      <c r="L342" t="s">
        <v>257</v>
      </c>
    </row>
    <row r="343" spans="1:12">
      <c r="A343">
        <v>234</v>
      </c>
      <c r="B343" t="s">
        <v>201</v>
      </c>
      <c r="C343" t="str">
        <f>_xlfn.XLOOKUP(B343,product!$A$2:$A$20,product!$B$2:$B$20)</f>
        <v>Webcam</v>
      </c>
      <c r="D343" t="str">
        <f>_xlfn.XLOOKUP(C343,product!$B$2:$B$20,product!$C$2:$C$20)</f>
        <v>Peripherals</v>
      </c>
      <c r="E343">
        <v>215</v>
      </c>
      <c r="F343">
        <v>3078</v>
      </c>
      <c r="G343">
        <v>661770</v>
      </c>
      <c r="H343">
        <v>44903</v>
      </c>
      <c r="I343" t="s">
        <v>237</v>
      </c>
      <c r="J343" t="s">
        <v>241</v>
      </c>
      <c r="K343" t="s">
        <v>248</v>
      </c>
      <c r="L343" t="s">
        <v>259</v>
      </c>
    </row>
    <row r="344" spans="1:12">
      <c r="A344">
        <v>290</v>
      </c>
      <c r="B344" t="s">
        <v>187</v>
      </c>
      <c r="C344" t="str">
        <f>_xlfn.XLOOKUP(B344,product!$A$2:$A$20,product!$B$2:$B$20)</f>
        <v>USB Flash Drive</v>
      </c>
      <c r="D344" t="str">
        <f>_xlfn.XLOOKUP(C344,product!$B$2:$B$20,product!$C$2:$C$20)</f>
        <v>Storage</v>
      </c>
      <c r="E344">
        <v>193</v>
      </c>
      <c r="F344">
        <v>4620</v>
      </c>
      <c r="G344">
        <v>891660</v>
      </c>
      <c r="H344">
        <v>44904</v>
      </c>
      <c r="I344" t="s">
        <v>90</v>
      </c>
      <c r="J344" t="s">
        <v>238</v>
      </c>
      <c r="K344" t="s">
        <v>248</v>
      </c>
      <c r="L344" t="s">
        <v>261</v>
      </c>
    </row>
    <row r="345" spans="1:12">
      <c r="A345">
        <v>294</v>
      </c>
      <c r="B345" t="s">
        <v>203</v>
      </c>
      <c r="C345" t="str">
        <f>_xlfn.XLOOKUP(B345,product!$A$2:$A$20,product!$B$2:$B$20)</f>
        <v>Laptop Stand</v>
      </c>
      <c r="D345" t="str">
        <f>_xlfn.XLOOKUP(C345,product!$B$2:$B$20,product!$C$2:$C$20)</f>
        <v>Laptop Accessories</v>
      </c>
      <c r="E345">
        <v>257</v>
      </c>
      <c r="F345">
        <v>2472</v>
      </c>
      <c r="G345">
        <v>635304</v>
      </c>
      <c r="H345">
        <v>44905</v>
      </c>
      <c r="I345" t="s">
        <v>243</v>
      </c>
      <c r="J345" t="s">
        <v>234</v>
      </c>
      <c r="K345" t="s">
        <v>239</v>
      </c>
      <c r="L345" t="s">
        <v>262</v>
      </c>
    </row>
    <row r="346" spans="1:12">
      <c r="A346">
        <v>284</v>
      </c>
      <c r="B346" t="s">
        <v>189</v>
      </c>
      <c r="C346" t="str">
        <f>_xlfn.XLOOKUP(B346,product!$A$2:$A$20,product!$B$2:$B$20)</f>
        <v>Monitor</v>
      </c>
      <c r="D346" t="str">
        <f>_xlfn.XLOOKUP(C346,product!$B$2:$B$20,product!$C$2:$C$20)</f>
        <v>Display</v>
      </c>
      <c r="E346">
        <v>249</v>
      </c>
      <c r="F346">
        <v>4958</v>
      </c>
      <c r="G346">
        <v>1234542</v>
      </c>
      <c r="H346">
        <v>44906</v>
      </c>
      <c r="I346" t="s">
        <v>245</v>
      </c>
      <c r="J346" t="s">
        <v>238</v>
      </c>
      <c r="K346" t="s">
        <v>239</v>
      </c>
      <c r="L346" t="s">
        <v>263</v>
      </c>
    </row>
    <row r="347" spans="1:12">
      <c r="A347">
        <v>422</v>
      </c>
      <c r="B347" t="s">
        <v>194</v>
      </c>
      <c r="C347" t="str">
        <f>_xlfn.XLOOKUP(B347,product!$A$2:$A$20,product!$B$2:$B$20)</f>
        <v>RAM Module</v>
      </c>
      <c r="D347" t="str">
        <f>_xlfn.XLOOKUP(C347,product!$B$2:$B$20,product!$C$2:$C$20)</f>
        <v>Internal Hardware</v>
      </c>
      <c r="E347">
        <v>192</v>
      </c>
      <c r="F347">
        <v>4492</v>
      </c>
      <c r="G347">
        <v>862464</v>
      </c>
      <c r="H347">
        <v>44907</v>
      </c>
      <c r="I347" t="s">
        <v>247</v>
      </c>
      <c r="J347" t="s">
        <v>241</v>
      </c>
      <c r="K347" t="s">
        <v>248</v>
      </c>
      <c r="L347" t="s">
        <v>236</v>
      </c>
    </row>
    <row r="348" spans="1:12">
      <c r="A348">
        <v>308</v>
      </c>
      <c r="B348" t="s">
        <v>220</v>
      </c>
      <c r="C348" t="str">
        <f>_xlfn.XLOOKUP(B348,product!$A$2:$A$20,product!$B$2:$B$20)</f>
        <v>Ethernet Cable</v>
      </c>
      <c r="D348" t="str">
        <f>_xlfn.XLOOKUP(C348,product!$B$2:$B$20,product!$C$2:$C$20)</f>
        <v>Cables &amp; Connectors</v>
      </c>
      <c r="E348">
        <v>223</v>
      </c>
      <c r="F348">
        <v>4576</v>
      </c>
      <c r="G348">
        <v>1020448</v>
      </c>
      <c r="H348">
        <v>44908</v>
      </c>
      <c r="I348" t="s">
        <v>250</v>
      </c>
      <c r="J348" t="s">
        <v>234</v>
      </c>
      <c r="K348" t="s">
        <v>248</v>
      </c>
      <c r="L348" t="s">
        <v>240</v>
      </c>
    </row>
    <row r="349" spans="1:12">
      <c r="A349">
        <v>326</v>
      </c>
      <c r="B349" t="s">
        <v>217</v>
      </c>
      <c r="C349" t="str">
        <f>_xlfn.XLOOKUP(B349,product!$A$2:$A$20,product!$B$2:$B$20)</f>
        <v>Wireless Router</v>
      </c>
      <c r="D349" t="str">
        <f>_xlfn.XLOOKUP(C349,product!$B$2:$B$20,product!$C$2:$C$20)</f>
        <v>Network</v>
      </c>
      <c r="E349">
        <v>262</v>
      </c>
      <c r="F349">
        <v>2318</v>
      </c>
      <c r="G349">
        <v>607316</v>
      </c>
      <c r="H349">
        <v>44909</v>
      </c>
      <c r="I349" t="s">
        <v>64</v>
      </c>
      <c r="J349" t="s">
        <v>241</v>
      </c>
      <c r="K349" t="s">
        <v>239</v>
      </c>
      <c r="L349" t="s">
        <v>242</v>
      </c>
    </row>
    <row r="350" spans="1:12">
      <c r="A350">
        <v>275</v>
      </c>
      <c r="B350" t="s">
        <v>217</v>
      </c>
      <c r="C350" t="str">
        <f>_xlfn.XLOOKUP(B350,product!$A$2:$A$20,product!$B$2:$B$20)</f>
        <v>Wireless Router</v>
      </c>
      <c r="D350" t="str">
        <f>_xlfn.XLOOKUP(C350,product!$B$2:$B$20,product!$C$2:$C$20)</f>
        <v>Network</v>
      </c>
      <c r="E350">
        <v>272</v>
      </c>
      <c r="F350">
        <v>2368</v>
      </c>
      <c r="G350">
        <v>644096</v>
      </c>
      <c r="H350">
        <v>44910</v>
      </c>
      <c r="I350" t="s">
        <v>254</v>
      </c>
      <c r="J350" t="s">
        <v>241</v>
      </c>
      <c r="K350" t="s">
        <v>235</v>
      </c>
      <c r="L350" t="s">
        <v>244</v>
      </c>
    </row>
    <row r="351" spans="1:12">
      <c r="A351">
        <v>426</v>
      </c>
      <c r="B351" t="s">
        <v>208</v>
      </c>
      <c r="C351" t="str">
        <f>_xlfn.XLOOKUP(B351,product!$A$2:$A$20,product!$B$2:$B$20)</f>
        <v>Headset</v>
      </c>
      <c r="D351" t="str">
        <f>_xlfn.XLOOKUP(C351,product!$B$2:$B$20,product!$C$2:$C$20)</f>
        <v>Audio</v>
      </c>
      <c r="E351">
        <v>168</v>
      </c>
      <c r="F351">
        <v>4227</v>
      </c>
      <c r="G351">
        <v>710136</v>
      </c>
      <c r="H351">
        <v>44911</v>
      </c>
      <c r="I351" t="s">
        <v>256</v>
      </c>
      <c r="J351" t="s">
        <v>238</v>
      </c>
      <c r="K351" t="s">
        <v>239</v>
      </c>
      <c r="L351" t="s">
        <v>246</v>
      </c>
    </row>
    <row r="352" spans="1:12">
      <c r="A352">
        <v>362</v>
      </c>
      <c r="B352" t="s">
        <v>198</v>
      </c>
      <c r="C352" t="str">
        <f>_xlfn.XLOOKUP(B352,product!$A$2:$A$20,product!$B$2:$B$20)</f>
        <v>HDMI Cable</v>
      </c>
      <c r="D352" t="str">
        <f>_xlfn.XLOOKUP(C352,product!$B$2:$B$20,product!$C$2:$C$20)</f>
        <v>Cables &amp; Connectors</v>
      </c>
      <c r="E352">
        <v>178</v>
      </c>
      <c r="F352">
        <v>4812</v>
      </c>
      <c r="G352">
        <v>856536</v>
      </c>
      <c r="H352">
        <v>44912</v>
      </c>
      <c r="I352" t="s">
        <v>258</v>
      </c>
      <c r="J352" t="s">
        <v>241</v>
      </c>
      <c r="K352" t="s">
        <v>239</v>
      </c>
      <c r="L352" t="s">
        <v>249</v>
      </c>
    </row>
    <row r="353" spans="1:12">
      <c r="A353">
        <v>236</v>
      </c>
      <c r="B353" t="s">
        <v>217</v>
      </c>
      <c r="C353" t="str">
        <f>_xlfn.XLOOKUP(B353,product!$A$2:$A$20,product!$B$2:$B$20)</f>
        <v>Wireless Router</v>
      </c>
      <c r="D353" t="str">
        <f>_xlfn.XLOOKUP(C353,product!$B$2:$B$20,product!$C$2:$C$20)</f>
        <v>Network</v>
      </c>
      <c r="E353">
        <v>230</v>
      </c>
      <c r="F353">
        <v>4271</v>
      </c>
      <c r="G353">
        <v>982330</v>
      </c>
      <c r="H353">
        <v>44913</v>
      </c>
      <c r="I353" t="s">
        <v>260</v>
      </c>
      <c r="J353" t="s">
        <v>241</v>
      </c>
      <c r="K353" t="s">
        <v>239</v>
      </c>
      <c r="L353" t="s">
        <v>251</v>
      </c>
    </row>
    <row r="354" spans="1:12">
      <c r="A354">
        <v>311</v>
      </c>
      <c r="B354" t="s">
        <v>203</v>
      </c>
      <c r="C354" t="str">
        <f>_xlfn.XLOOKUP(B354,product!$A$2:$A$20,product!$B$2:$B$20)</f>
        <v>Laptop Stand</v>
      </c>
      <c r="D354" t="str">
        <f>_xlfn.XLOOKUP(C354,product!$B$2:$B$20,product!$C$2:$C$20)</f>
        <v>Laptop Accessories</v>
      </c>
      <c r="E354">
        <v>192</v>
      </c>
      <c r="F354">
        <v>3083</v>
      </c>
      <c r="G354">
        <v>591936</v>
      </c>
      <c r="H354">
        <v>44914</v>
      </c>
      <c r="I354" t="s">
        <v>233</v>
      </c>
      <c r="J354" t="s">
        <v>238</v>
      </c>
      <c r="K354" t="s">
        <v>248</v>
      </c>
      <c r="L354" t="s">
        <v>252</v>
      </c>
    </row>
    <row r="355" spans="1:12">
      <c r="A355">
        <v>402</v>
      </c>
      <c r="B355" t="s">
        <v>208</v>
      </c>
      <c r="C355" t="str">
        <f>_xlfn.XLOOKUP(B355,product!$A$2:$A$20,product!$B$2:$B$20)</f>
        <v>Headset</v>
      </c>
      <c r="D355" t="str">
        <f>_xlfn.XLOOKUP(C355,product!$B$2:$B$20,product!$C$2:$C$20)</f>
        <v>Audio</v>
      </c>
      <c r="E355">
        <v>208</v>
      </c>
      <c r="F355">
        <v>4160</v>
      </c>
      <c r="G355">
        <v>865280</v>
      </c>
      <c r="H355">
        <v>44915</v>
      </c>
      <c r="I355" t="s">
        <v>237</v>
      </c>
      <c r="J355" t="s">
        <v>234</v>
      </c>
      <c r="K355" t="s">
        <v>239</v>
      </c>
      <c r="L355" t="s">
        <v>253</v>
      </c>
    </row>
    <row r="356" spans="1:12">
      <c r="A356">
        <v>399</v>
      </c>
      <c r="B356" t="s">
        <v>198</v>
      </c>
      <c r="C356" t="str">
        <f>_xlfn.XLOOKUP(B356,product!$A$2:$A$20,product!$B$2:$B$20)</f>
        <v>HDMI Cable</v>
      </c>
      <c r="D356" t="str">
        <f>_xlfn.XLOOKUP(C356,product!$B$2:$B$20,product!$C$2:$C$20)</f>
        <v>Cables &amp; Connectors</v>
      </c>
      <c r="E356">
        <v>128</v>
      </c>
      <c r="F356">
        <v>3342</v>
      </c>
      <c r="G356">
        <v>427776</v>
      </c>
      <c r="H356">
        <v>44916</v>
      </c>
      <c r="I356" t="s">
        <v>90</v>
      </c>
      <c r="J356" t="s">
        <v>238</v>
      </c>
      <c r="K356" t="s">
        <v>235</v>
      </c>
      <c r="L356" t="s">
        <v>255</v>
      </c>
    </row>
    <row r="357" spans="1:12">
      <c r="A357">
        <v>408</v>
      </c>
      <c r="B357" t="s">
        <v>184</v>
      </c>
      <c r="C357" t="str">
        <f>_xlfn.XLOOKUP(B357,product!$A$2:$A$20,product!$B$2:$B$20)</f>
        <v>Hard Drive</v>
      </c>
      <c r="D357" t="str">
        <f>_xlfn.XLOOKUP(C357,product!$B$2:$B$20,product!$C$2:$C$20)</f>
        <v>Storage</v>
      </c>
      <c r="E357">
        <v>250</v>
      </c>
      <c r="F357">
        <v>3186</v>
      </c>
      <c r="G357">
        <v>796500</v>
      </c>
      <c r="H357">
        <v>44917</v>
      </c>
      <c r="I357" t="s">
        <v>243</v>
      </c>
      <c r="J357" t="s">
        <v>234</v>
      </c>
      <c r="K357" t="s">
        <v>248</v>
      </c>
      <c r="L357" t="s">
        <v>257</v>
      </c>
    </row>
    <row r="358" spans="1:12">
      <c r="A358">
        <v>278</v>
      </c>
      <c r="B358" t="s">
        <v>208</v>
      </c>
      <c r="C358" t="str">
        <f>_xlfn.XLOOKUP(B358,product!$A$2:$A$20,product!$B$2:$B$20)</f>
        <v>Headset</v>
      </c>
      <c r="D358" t="str">
        <f>_xlfn.XLOOKUP(C358,product!$B$2:$B$20,product!$C$2:$C$20)</f>
        <v>Audio</v>
      </c>
      <c r="E358">
        <v>204</v>
      </c>
      <c r="F358">
        <v>4200</v>
      </c>
      <c r="G358">
        <v>856800</v>
      </c>
      <c r="H358">
        <v>44918</v>
      </c>
      <c r="I358" t="s">
        <v>245</v>
      </c>
      <c r="J358" t="s">
        <v>234</v>
      </c>
      <c r="K358" t="s">
        <v>239</v>
      </c>
      <c r="L358" t="s">
        <v>259</v>
      </c>
    </row>
    <row r="359" spans="1:12">
      <c r="A359">
        <v>225</v>
      </c>
      <c r="B359" t="s">
        <v>189</v>
      </c>
      <c r="C359" t="str">
        <f>_xlfn.XLOOKUP(B359,product!$A$2:$A$20,product!$B$2:$B$20)</f>
        <v>Monitor</v>
      </c>
      <c r="D359" t="str">
        <f>_xlfn.XLOOKUP(C359,product!$B$2:$B$20,product!$C$2:$C$20)</f>
        <v>Display</v>
      </c>
      <c r="E359">
        <v>198</v>
      </c>
      <c r="F359">
        <v>2528</v>
      </c>
      <c r="G359">
        <v>500544</v>
      </c>
      <c r="H359">
        <v>44919</v>
      </c>
      <c r="I359" t="s">
        <v>247</v>
      </c>
      <c r="J359" t="s">
        <v>241</v>
      </c>
      <c r="K359" t="s">
        <v>239</v>
      </c>
      <c r="L359" t="s">
        <v>261</v>
      </c>
    </row>
    <row r="360" spans="1:12">
      <c r="A360">
        <v>325</v>
      </c>
      <c r="B360" t="s">
        <v>191</v>
      </c>
      <c r="C360" t="str">
        <f>_xlfn.XLOOKUP(B360,product!$A$2:$A$20,product!$B$2:$B$20)</f>
        <v>Graphics Card</v>
      </c>
      <c r="D360" t="str">
        <f>_xlfn.XLOOKUP(C360,product!$B$2:$B$20,product!$C$2:$C$20)</f>
        <v>Internal Hardware</v>
      </c>
      <c r="E360">
        <v>277</v>
      </c>
      <c r="F360">
        <v>4694</v>
      </c>
      <c r="G360">
        <v>1300238</v>
      </c>
      <c r="H360">
        <v>44920</v>
      </c>
      <c r="I360" t="s">
        <v>250</v>
      </c>
      <c r="J360" t="s">
        <v>234</v>
      </c>
      <c r="K360" t="s">
        <v>248</v>
      </c>
      <c r="L360" t="s">
        <v>262</v>
      </c>
    </row>
    <row r="361" spans="1:12">
      <c r="A361">
        <v>289</v>
      </c>
      <c r="B361" t="s">
        <v>211</v>
      </c>
      <c r="C361" t="str">
        <f>_xlfn.XLOOKUP(B361,product!$A$2:$A$20,product!$B$2:$B$20)</f>
        <v>Printer</v>
      </c>
      <c r="D361" t="str">
        <f>_xlfn.XLOOKUP(C361,product!$B$2:$B$20,product!$C$2:$C$20)</f>
        <v>Peripherals</v>
      </c>
      <c r="E361">
        <v>117</v>
      </c>
      <c r="F361">
        <v>2900</v>
      </c>
      <c r="G361">
        <v>339300</v>
      </c>
      <c r="H361">
        <v>44921</v>
      </c>
      <c r="I361" t="s">
        <v>64</v>
      </c>
      <c r="J361" t="s">
        <v>238</v>
      </c>
      <c r="K361" t="s">
        <v>235</v>
      </c>
      <c r="L361" t="s">
        <v>263</v>
      </c>
    </row>
    <row r="362" spans="1:12">
      <c r="A362">
        <v>482</v>
      </c>
      <c r="B362" t="s">
        <v>194</v>
      </c>
      <c r="C362" t="str">
        <f>_xlfn.XLOOKUP(B362,product!$A$2:$A$20,product!$B$2:$B$20)</f>
        <v>RAM Module</v>
      </c>
      <c r="D362" t="str">
        <f>_xlfn.XLOOKUP(C362,product!$B$2:$B$20,product!$C$2:$C$20)</f>
        <v>Internal Hardware</v>
      </c>
      <c r="E362">
        <v>269</v>
      </c>
      <c r="F362">
        <v>2267</v>
      </c>
      <c r="G362">
        <v>609823</v>
      </c>
      <c r="H362">
        <v>44922</v>
      </c>
      <c r="I362" t="s">
        <v>90</v>
      </c>
      <c r="J362" t="s">
        <v>241</v>
      </c>
      <c r="K362" t="s">
        <v>248</v>
      </c>
      <c r="L362" t="s">
        <v>255</v>
      </c>
    </row>
    <row r="363" spans="1:12">
      <c r="A363">
        <v>423</v>
      </c>
      <c r="B363" t="s">
        <v>194</v>
      </c>
      <c r="C363" t="str">
        <f>_xlfn.XLOOKUP(B363,product!$A$2:$A$20,product!$B$2:$B$20)</f>
        <v>RAM Module</v>
      </c>
      <c r="D363" t="str">
        <f>_xlfn.XLOOKUP(C363,product!$B$2:$B$20,product!$C$2:$C$20)</f>
        <v>Internal Hardware</v>
      </c>
      <c r="E363">
        <v>176</v>
      </c>
      <c r="F363">
        <v>4524</v>
      </c>
      <c r="G363">
        <v>796224</v>
      </c>
      <c r="H363">
        <v>44923</v>
      </c>
      <c r="I363" t="s">
        <v>243</v>
      </c>
      <c r="J363" t="s">
        <v>238</v>
      </c>
      <c r="K363" t="s">
        <v>248</v>
      </c>
      <c r="L363" t="s">
        <v>257</v>
      </c>
    </row>
    <row r="364" spans="1:12">
      <c r="A364">
        <v>474</v>
      </c>
      <c r="B364" t="s">
        <v>191</v>
      </c>
      <c r="C364" t="str">
        <f>_xlfn.XLOOKUP(B364,product!$A$2:$A$20,product!$B$2:$B$20)</f>
        <v>Graphics Card</v>
      </c>
      <c r="D364" t="str">
        <f>_xlfn.XLOOKUP(C364,product!$B$2:$B$20,product!$C$2:$C$20)</f>
        <v>Internal Hardware</v>
      </c>
      <c r="E364">
        <v>103</v>
      </c>
      <c r="F364">
        <v>3546</v>
      </c>
      <c r="G364">
        <v>365238</v>
      </c>
      <c r="H364">
        <v>44924</v>
      </c>
      <c r="I364" t="s">
        <v>245</v>
      </c>
      <c r="J364" t="s">
        <v>238</v>
      </c>
      <c r="K364" t="s">
        <v>235</v>
      </c>
      <c r="L364" t="s">
        <v>259</v>
      </c>
    </row>
    <row r="365" spans="1:12">
      <c r="A365">
        <v>332</v>
      </c>
      <c r="B365" t="s">
        <v>201</v>
      </c>
      <c r="C365" t="str">
        <f>_xlfn.XLOOKUP(B365,product!$A$2:$A$20,product!$B$2:$B$20)</f>
        <v>Webcam</v>
      </c>
      <c r="D365" t="str">
        <f>_xlfn.XLOOKUP(C365,product!$B$2:$B$20,product!$C$2:$C$20)</f>
        <v>Peripherals</v>
      </c>
      <c r="E365">
        <v>287</v>
      </c>
      <c r="F365">
        <v>3379</v>
      </c>
      <c r="G365">
        <v>969773</v>
      </c>
      <c r="H365">
        <v>44925</v>
      </c>
      <c r="I365" t="s">
        <v>247</v>
      </c>
      <c r="J365" t="s">
        <v>238</v>
      </c>
      <c r="K365" t="s">
        <v>235</v>
      </c>
      <c r="L365" t="s">
        <v>261</v>
      </c>
    </row>
    <row r="366" spans="1:12">
      <c r="A366">
        <v>299</v>
      </c>
      <c r="B366" t="s">
        <v>183</v>
      </c>
      <c r="C366" t="str">
        <f>_xlfn.XLOOKUP(B366,product!$A$2:$A$20,product!$B$2:$B$20)</f>
        <v>Mouse</v>
      </c>
      <c r="D366" t="str">
        <f>_xlfn.XLOOKUP(C366,product!$B$2:$B$20,product!$C$2:$C$20)</f>
        <v>Input Device</v>
      </c>
      <c r="E366">
        <v>187</v>
      </c>
      <c r="F366">
        <v>3193</v>
      </c>
      <c r="G366">
        <v>597091</v>
      </c>
      <c r="H366">
        <v>44926</v>
      </c>
      <c r="I366" t="s">
        <v>250</v>
      </c>
      <c r="J366" t="s">
        <v>234</v>
      </c>
      <c r="K366" t="s">
        <v>239</v>
      </c>
      <c r="L366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93AB-817D-44A3-80C2-0BE045895D0C}">
  <dimension ref="A1:H36"/>
  <sheetViews>
    <sheetView workbookViewId="0">
      <selection activeCell="J17" sqref="J17"/>
    </sheetView>
  </sheetViews>
  <sheetFormatPr defaultRowHeight="15"/>
  <cols>
    <col min="1" max="1" width="10.5703125" customWidth="1"/>
    <col min="2" max="2" width="14.7109375" bestFit="1" customWidth="1"/>
    <col min="3" max="3" width="10.140625" customWidth="1"/>
    <col min="7" max="7" width="22.85546875" bestFit="1" customWidth="1"/>
  </cols>
  <sheetData>
    <row r="1" spans="1:8">
      <c r="A1" t="s">
        <v>265</v>
      </c>
      <c r="B1" t="s">
        <v>268</v>
      </c>
      <c r="C1" t="s">
        <v>269</v>
      </c>
      <c r="D1" t="s">
        <v>270</v>
      </c>
    </row>
    <row r="2" spans="1:8">
      <c r="A2" s="8">
        <v>45292</v>
      </c>
      <c r="B2">
        <v>1</v>
      </c>
      <c r="C2">
        <v>42000</v>
      </c>
      <c r="D2">
        <v>12</v>
      </c>
      <c r="G2" t="s">
        <v>271</v>
      </c>
      <c r="H2" t="s">
        <v>272</v>
      </c>
    </row>
    <row r="3" spans="1:8">
      <c r="A3" s="8">
        <v>45323</v>
      </c>
      <c r="B3">
        <v>2</v>
      </c>
      <c r="C3">
        <v>44500</v>
      </c>
      <c r="D3">
        <v>15</v>
      </c>
      <c r="G3" t="s">
        <v>273</v>
      </c>
      <c r="H3">
        <f>_xlfn.FORECAST.LINEAR(31,C2:C31,B2:B31)</f>
        <v>96709.19540229885</v>
      </c>
    </row>
    <row r="4" spans="1:8">
      <c r="A4" s="8">
        <v>45352</v>
      </c>
      <c r="B4">
        <v>3</v>
      </c>
      <c r="C4">
        <v>47000</v>
      </c>
      <c r="D4">
        <v>18</v>
      </c>
      <c r="G4" t="s">
        <v>274</v>
      </c>
      <c r="H4">
        <f>_xlfn.FORECAST.LINEAR(32,C2:C31,B2:B31)</f>
        <v>98549.573600296615</v>
      </c>
    </row>
    <row r="5" spans="1:8">
      <c r="A5" s="8">
        <v>45383</v>
      </c>
      <c r="B5">
        <v>4</v>
      </c>
      <c r="C5">
        <v>45500</v>
      </c>
      <c r="D5">
        <v>14</v>
      </c>
      <c r="G5" t="s">
        <v>275</v>
      </c>
      <c r="H5">
        <f>SLOPE(C2:C31,B2:B31)</f>
        <v>1840.3781979977753</v>
      </c>
    </row>
    <row r="6" spans="1:8">
      <c r="A6" s="8">
        <v>45413</v>
      </c>
      <c r="B6">
        <v>5</v>
      </c>
      <c r="C6">
        <v>49000</v>
      </c>
      <c r="D6">
        <v>20</v>
      </c>
      <c r="G6" t="s">
        <v>276</v>
      </c>
      <c r="H6">
        <f>INTERCEPT(C2:C31,B2:B31)</f>
        <v>39657.471264367807</v>
      </c>
    </row>
    <row r="7" spans="1:8">
      <c r="A7" s="8">
        <v>45444</v>
      </c>
      <c r="B7">
        <v>6</v>
      </c>
      <c r="C7">
        <v>51500</v>
      </c>
      <c r="D7">
        <v>22</v>
      </c>
    </row>
    <row r="8" spans="1:8">
      <c r="A8" s="8">
        <v>45474</v>
      </c>
      <c r="B8">
        <v>7</v>
      </c>
      <c r="C8">
        <v>53000</v>
      </c>
      <c r="D8">
        <v>19</v>
      </c>
      <c r="G8" s="9" t="s">
        <v>278</v>
      </c>
      <c r="H8">
        <f>AVERAGE(C2:C31)</f>
        <v>68183.333333333328</v>
      </c>
    </row>
    <row r="9" spans="1:8">
      <c r="A9" s="8">
        <v>45505</v>
      </c>
      <c r="B9">
        <v>8</v>
      </c>
      <c r="C9">
        <v>52000</v>
      </c>
      <c r="D9">
        <v>21</v>
      </c>
      <c r="G9" t="s">
        <v>279</v>
      </c>
      <c r="H9">
        <f>MAX(C2:C31)</f>
        <v>96000</v>
      </c>
    </row>
    <row r="10" spans="1:8">
      <c r="A10" s="8">
        <v>45536</v>
      </c>
      <c r="B10">
        <v>9</v>
      </c>
      <c r="C10">
        <v>56000</v>
      </c>
      <c r="D10">
        <v>24</v>
      </c>
      <c r="G10" t="s">
        <v>280</v>
      </c>
      <c r="H10">
        <f>MIN(C2:C31)</f>
        <v>42000</v>
      </c>
    </row>
    <row r="11" spans="1:8">
      <c r="A11" s="8">
        <v>45566</v>
      </c>
      <c r="B11">
        <v>10</v>
      </c>
      <c r="C11">
        <v>58500</v>
      </c>
      <c r="D11">
        <v>25</v>
      </c>
      <c r="G11" t="s">
        <v>277</v>
      </c>
      <c r="H11" cm="1">
        <f t="array" ref="H11:H14">TREND(C2:C31,B2:B31,{31;32;33;34})</f>
        <v>96709.19540229885</v>
      </c>
    </row>
    <row r="12" spans="1:8">
      <c r="A12" s="8">
        <v>45597</v>
      </c>
      <c r="B12">
        <v>11</v>
      </c>
      <c r="C12">
        <v>60000</v>
      </c>
      <c r="D12">
        <v>28</v>
      </c>
      <c r="G12" s="9"/>
      <c r="H12">
        <v>98549.573600296615</v>
      </c>
    </row>
    <row r="13" spans="1:8">
      <c r="A13" s="8">
        <v>45627</v>
      </c>
      <c r="B13">
        <v>12</v>
      </c>
      <c r="C13">
        <v>62500</v>
      </c>
      <c r="D13">
        <v>30</v>
      </c>
      <c r="H13">
        <v>100389.95179829438</v>
      </c>
    </row>
    <row r="14" spans="1:8">
      <c r="A14" s="8">
        <v>45658</v>
      </c>
      <c r="B14">
        <v>13</v>
      </c>
      <c r="C14">
        <v>61000</v>
      </c>
      <c r="D14">
        <v>26</v>
      </c>
      <c r="H14">
        <v>102230.32999629216</v>
      </c>
    </row>
    <row r="15" spans="1:8">
      <c r="A15" s="8">
        <v>45689</v>
      </c>
      <c r="B15">
        <v>14</v>
      </c>
      <c r="C15">
        <v>65000</v>
      </c>
      <c r="D15">
        <v>29</v>
      </c>
    </row>
    <row r="16" spans="1:8">
      <c r="A16" s="8">
        <v>45717</v>
      </c>
      <c r="B16">
        <v>15</v>
      </c>
      <c r="C16">
        <v>67500</v>
      </c>
      <c r="D16">
        <v>31</v>
      </c>
      <c r="G16" s="9"/>
    </row>
    <row r="17" spans="1:7">
      <c r="A17" s="8">
        <v>45748</v>
      </c>
      <c r="B17">
        <v>16</v>
      </c>
      <c r="C17">
        <v>69000</v>
      </c>
      <c r="D17">
        <v>33</v>
      </c>
    </row>
    <row r="18" spans="1:7">
      <c r="A18" s="8">
        <v>45778</v>
      </c>
      <c r="B18">
        <v>17</v>
      </c>
      <c r="C18">
        <v>71500</v>
      </c>
      <c r="D18">
        <v>32</v>
      </c>
    </row>
    <row r="19" spans="1:7">
      <c r="A19" s="8">
        <v>45809</v>
      </c>
      <c r="B19">
        <v>18</v>
      </c>
      <c r="C19">
        <v>70000</v>
      </c>
      <c r="D19">
        <v>30</v>
      </c>
    </row>
    <row r="20" spans="1:7">
      <c r="A20" s="8">
        <v>45839</v>
      </c>
      <c r="B20">
        <v>19</v>
      </c>
      <c r="C20">
        <v>74500</v>
      </c>
      <c r="D20">
        <v>34</v>
      </c>
      <c r="G20" s="9"/>
    </row>
    <row r="21" spans="1:7">
      <c r="A21" s="8">
        <v>45870</v>
      </c>
      <c r="B21">
        <v>20</v>
      </c>
      <c r="C21">
        <v>77000</v>
      </c>
      <c r="D21">
        <v>35</v>
      </c>
    </row>
    <row r="22" spans="1:7">
      <c r="A22" s="8">
        <v>45901</v>
      </c>
      <c r="B22">
        <v>21</v>
      </c>
      <c r="C22">
        <v>79000</v>
      </c>
      <c r="D22">
        <v>37</v>
      </c>
    </row>
    <row r="23" spans="1:7">
      <c r="A23" s="8">
        <v>45931</v>
      </c>
      <c r="B23">
        <v>22</v>
      </c>
      <c r="C23">
        <v>80500</v>
      </c>
      <c r="D23">
        <v>36</v>
      </c>
    </row>
    <row r="24" spans="1:7">
      <c r="A24" s="8">
        <v>45962</v>
      </c>
      <c r="B24">
        <v>23</v>
      </c>
      <c r="C24">
        <v>83000</v>
      </c>
      <c r="D24">
        <v>39</v>
      </c>
      <c r="G24" s="9"/>
    </row>
    <row r="25" spans="1:7">
      <c r="A25" s="8">
        <v>45992</v>
      </c>
      <c r="B25">
        <v>24</v>
      </c>
      <c r="C25">
        <v>82000</v>
      </c>
      <c r="D25">
        <v>38</v>
      </c>
    </row>
    <row r="26" spans="1:7">
      <c r="A26" s="8">
        <v>46023</v>
      </c>
      <c r="B26">
        <v>25</v>
      </c>
      <c r="C26">
        <v>86000</v>
      </c>
      <c r="D26">
        <v>41</v>
      </c>
    </row>
    <row r="27" spans="1:7">
      <c r="A27" s="8">
        <v>46054</v>
      </c>
      <c r="B27">
        <v>26</v>
      </c>
      <c r="C27">
        <v>88500</v>
      </c>
      <c r="D27">
        <v>42</v>
      </c>
    </row>
    <row r="28" spans="1:7">
      <c r="A28" s="8">
        <v>46082</v>
      </c>
      <c r="B28">
        <v>27</v>
      </c>
      <c r="C28">
        <v>90000</v>
      </c>
      <c r="D28">
        <v>44</v>
      </c>
      <c r="G28" s="9"/>
    </row>
    <row r="29" spans="1:7">
      <c r="A29" s="8">
        <v>46113</v>
      </c>
      <c r="B29">
        <v>28</v>
      </c>
      <c r="C29">
        <v>92500</v>
      </c>
      <c r="D29">
        <v>45</v>
      </c>
    </row>
    <row r="30" spans="1:7">
      <c r="A30" s="8">
        <v>46143</v>
      </c>
      <c r="B30">
        <v>29</v>
      </c>
      <c r="C30">
        <v>91000</v>
      </c>
      <c r="D30">
        <v>43</v>
      </c>
    </row>
    <row r="31" spans="1:7">
      <c r="A31" s="8">
        <v>46174</v>
      </c>
      <c r="B31">
        <v>30</v>
      </c>
      <c r="C31">
        <v>96000</v>
      </c>
      <c r="D31">
        <v>48</v>
      </c>
    </row>
    <row r="32" spans="1:7">
      <c r="G32" s="9"/>
    </row>
    <row r="36" spans="7:7">
      <c r="G3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6655-F6F1-4FC9-9665-039CE8A20E99}">
  <dimension ref="A1:Q31"/>
  <sheetViews>
    <sheetView topLeftCell="G1" workbookViewId="0">
      <selection activeCell="M16" sqref="M16"/>
    </sheetView>
  </sheetViews>
  <sheetFormatPr defaultRowHeight="15"/>
  <cols>
    <col min="1" max="1" width="11.7109375" bestFit="1" customWidth="1"/>
    <col min="2" max="2" width="10.7109375" bestFit="1" customWidth="1"/>
    <col min="3" max="3" width="10.7109375" customWidth="1"/>
    <col min="4" max="4" width="11.28515625" bestFit="1" customWidth="1"/>
    <col min="5" max="5" width="12.140625" bestFit="1" customWidth="1"/>
    <col min="6" max="6" width="6.42578125" bestFit="1" customWidth="1"/>
    <col min="7" max="7" width="12.140625" bestFit="1" customWidth="1"/>
    <col min="8" max="8" width="15.85546875" bestFit="1" customWidth="1"/>
    <col min="9" max="9" width="20.5703125" bestFit="1" customWidth="1"/>
    <col min="10" max="10" width="10" bestFit="1" customWidth="1"/>
    <col min="13" max="13" width="30.42578125" bestFit="1" customWidth="1"/>
  </cols>
  <sheetData>
    <row r="1" spans="1:17">
      <c r="A1" t="s">
        <v>1</v>
      </c>
      <c r="B1" t="s">
        <v>2</v>
      </c>
      <c r="C1" t="s">
        <v>331</v>
      </c>
      <c r="D1" t="s">
        <v>281</v>
      </c>
      <c r="E1" t="s">
        <v>282</v>
      </c>
      <c r="F1" t="s">
        <v>283</v>
      </c>
      <c r="G1" t="s">
        <v>284</v>
      </c>
      <c r="H1" s="11" t="s">
        <v>330</v>
      </c>
      <c r="I1" t="s">
        <v>330</v>
      </c>
      <c r="J1" t="s">
        <v>334</v>
      </c>
      <c r="K1" t="s">
        <v>335</v>
      </c>
      <c r="N1" t="s">
        <v>337</v>
      </c>
    </row>
    <row r="2" spans="1:17">
      <c r="A2" t="s">
        <v>285</v>
      </c>
      <c r="B2" t="s">
        <v>97</v>
      </c>
      <c r="C2" t="s">
        <v>332</v>
      </c>
      <c r="D2" t="s">
        <v>227</v>
      </c>
      <c r="E2" s="10">
        <v>45306</v>
      </c>
      <c r="F2">
        <v>45000</v>
      </c>
      <c r="G2" t="s">
        <v>286</v>
      </c>
      <c r="H2" s="1" t="str">
        <f>_xlfn.TEXTJOIN(" ",TRUE,A2,B2)</f>
        <v>Ali Khan</v>
      </c>
      <c r="I2" t="str">
        <f>IF(C2="Male",_xlfn.TEXTJOIN(" S/o ",TRUE,A2,B2),_xlfn.TEXTJOIN(" W/o ",TRUE,A2,B2))</f>
        <v>Ali S/o Khan</v>
      </c>
      <c r="J2" s="1" t="str">
        <f>_xlfn.TEXTBEFORE(G2,"-")</f>
        <v>EMP</v>
      </c>
      <c r="K2" t="str">
        <f>_xlfn.TEXTAFTER(G2,"-")</f>
        <v>1001</v>
      </c>
      <c r="M2" t="s">
        <v>336</v>
      </c>
      <c r="N2" t="str" cm="1">
        <f t="array" ref="N2:P2">_xlfn.TEXTSPLIT(M2,"-")</f>
        <v>Ali</v>
      </c>
      <c r="O2" t="str">
        <v>Ahmed</v>
      </c>
      <c r="P2" t="str">
        <v>XII</v>
      </c>
    </row>
    <row r="3" spans="1:17">
      <c r="A3" t="s">
        <v>287</v>
      </c>
      <c r="B3" t="s">
        <v>288</v>
      </c>
      <c r="C3" t="s">
        <v>333</v>
      </c>
      <c r="D3" t="s">
        <v>289</v>
      </c>
      <c r="E3" s="10">
        <v>45066</v>
      </c>
      <c r="F3">
        <v>52000</v>
      </c>
      <c r="G3" t="s">
        <v>290</v>
      </c>
      <c r="H3" s="1" t="str">
        <f t="shared" ref="H3:H13" si="0">_xlfn.TEXTJOIN(" ",TRUE,A3,B3)</f>
        <v>Sara Ahmed</v>
      </c>
      <c r="I3" t="str">
        <f t="shared" ref="I3:I14" si="1">IF(C3="Male",_xlfn.TEXTJOIN(" S/o ",TRUE,A3,B3),_xlfn.TEXTJOIN(" W/o ",TRUE,A3,B3))</f>
        <v>Sara W/o Ahmed</v>
      </c>
      <c r="J3" s="1" t="str">
        <f t="shared" ref="J3:J14" si="2">_xlfn.TEXTBEFORE(G3,"-")</f>
        <v>EMP</v>
      </c>
      <c r="K3" t="str">
        <f t="shared" ref="K3:K14" si="3">_xlfn.TEXTAFTER(G3,"-")</f>
        <v>1002</v>
      </c>
      <c r="M3" t="s">
        <v>338</v>
      </c>
      <c r="N3" t="str" cm="1">
        <f t="array" ref="N3:Q3">_xlfn.TEXTSPLIT(M3,"-")</f>
        <v>Sara</v>
      </c>
      <c r="O3" t="str">
        <v>Ahmed</v>
      </c>
      <c r="P3" t="str">
        <v>Female</v>
      </c>
      <c r="Q3" t="str">
        <v>HR</v>
      </c>
    </row>
    <row r="4" spans="1:17">
      <c r="A4" t="s">
        <v>291</v>
      </c>
      <c r="B4" t="s">
        <v>292</v>
      </c>
      <c r="C4" t="s">
        <v>332</v>
      </c>
      <c r="D4" t="s">
        <v>293</v>
      </c>
      <c r="E4" s="10">
        <v>44783</v>
      </c>
      <c r="F4">
        <v>75000</v>
      </c>
      <c r="G4" t="s">
        <v>294</v>
      </c>
      <c r="H4" s="1" t="str">
        <f t="shared" si="0"/>
        <v>Muhammad Malik</v>
      </c>
      <c r="I4" t="str">
        <f t="shared" si="1"/>
        <v>Muhammad S/o Malik</v>
      </c>
      <c r="J4" s="1" t="str">
        <f t="shared" si="2"/>
        <v>EMP</v>
      </c>
      <c r="K4" t="str">
        <f t="shared" si="3"/>
        <v>1003</v>
      </c>
      <c r="M4" t="s">
        <v>339</v>
      </c>
      <c r="N4" t="str" cm="1">
        <f t="array" ref="N4:Q4">_xlfn.TEXTSPLIT(M4,"-")</f>
        <v>Muhammad</v>
      </c>
      <c r="O4" t="str">
        <v>Malik</v>
      </c>
      <c r="P4" t="str">
        <v>Male</v>
      </c>
      <c r="Q4" t="str">
        <v>IT</v>
      </c>
    </row>
    <row r="5" spans="1:17">
      <c r="A5" t="s">
        <v>72</v>
      </c>
      <c r="B5" t="s">
        <v>75</v>
      </c>
      <c r="C5" t="s">
        <v>333</v>
      </c>
      <c r="D5" t="s">
        <v>295</v>
      </c>
      <c r="E5" s="10">
        <v>45363</v>
      </c>
      <c r="F5">
        <v>60000</v>
      </c>
      <c r="G5" t="s">
        <v>296</v>
      </c>
      <c r="H5" s="1" t="str">
        <f t="shared" si="0"/>
        <v>Ayesha Shah</v>
      </c>
      <c r="I5" t="str">
        <f t="shared" si="1"/>
        <v>Ayesha W/o Shah</v>
      </c>
      <c r="J5" s="1" t="str">
        <f t="shared" si="2"/>
        <v>EMP</v>
      </c>
      <c r="K5" t="str">
        <f t="shared" si="3"/>
        <v>1004</v>
      </c>
      <c r="M5" t="s">
        <v>340</v>
      </c>
      <c r="N5" t="str" cm="1">
        <f t="array" ref="N5:Q5">_xlfn.TEXTSPLIT(M5,"-")</f>
        <v>Ayesha</v>
      </c>
      <c r="O5" t="str">
        <v>Shah</v>
      </c>
      <c r="P5" t="str">
        <v>Female</v>
      </c>
      <c r="Q5" t="str">
        <v>Finance</v>
      </c>
    </row>
    <row r="6" spans="1:17">
      <c r="A6" t="s">
        <v>297</v>
      </c>
      <c r="B6" t="s">
        <v>15</v>
      </c>
      <c r="C6" t="s">
        <v>333</v>
      </c>
      <c r="D6" t="s">
        <v>298</v>
      </c>
      <c r="E6" s="10">
        <v>45235</v>
      </c>
      <c r="F6">
        <v>48000</v>
      </c>
      <c r="G6" t="s">
        <v>299</v>
      </c>
      <c r="H6" s="1" t="str">
        <f t="shared" si="0"/>
        <v>Hina Siddiqui</v>
      </c>
      <c r="I6" t="str">
        <f t="shared" si="1"/>
        <v>Hina W/o Siddiqui</v>
      </c>
      <c r="J6" s="1" t="str">
        <f t="shared" si="2"/>
        <v>EMP</v>
      </c>
      <c r="K6" t="str">
        <f t="shared" si="3"/>
        <v>1005</v>
      </c>
      <c r="M6" t="s">
        <v>341</v>
      </c>
      <c r="N6" t="str" cm="1">
        <f t="array" ref="N6:Q6">_xlfn.TEXTSPLIT(M6,"-")</f>
        <v>Hina</v>
      </c>
      <c r="O6" t="str">
        <v>Siddiqui</v>
      </c>
      <c r="P6" t="str">
        <v>Female</v>
      </c>
      <c r="Q6" t="str">
        <v>Marketing</v>
      </c>
    </row>
    <row r="7" spans="1:17">
      <c r="A7" t="s">
        <v>300</v>
      </c>
      <c r="B7" t="s">
        <v>301</v>
      </c>
      <c r="C7" t="s">
        <v>332</v>
      </c>
      <c r="D7" t="s">
        <v>227</v>
      </c>
      <c r="E7" s="10">
        <v>44610</v>
      </c>
      <c r="F7">
        <v>55000</v>
      </c>
      <c r="G7" t="s">
        <v>302</v>
      </c>
      <c r="H7" s="1" t="str">
        <f t="shared" si="0"/>
        <v>Omar Raza</v>
      </c>
      <c r="I7" t="str">
        <f t="shared" si="1"/>
        <v>Omar S/o Raza</v>
      </c>
      <c r="J7" s="1" t="str">
        <f t="shared" si="2"/>
        <v>EMP</v>
      </c>
      <c r="K7" t="str">
        <f t="shared" si="3"/>
        <v>1006</v>
      </c>
      <c r="M7" t="s">
        <v>342</v>
      </c>
      <c r="N7" t="str" cm="1">
        <f t="array" ref="N7:Q7">_xlfn.TEXTSPLIT(M7,"-")</f>
        <v>Omar</v>
      </c>
      <c r="O7" t="str">
        <v>Raza</v>
      </c>
      <c r="P7" t="str">
        <v>Male</v>
      </c>
      <c r="Q7" t="str">
        <v>Sales</v>
      </c>
    </row>
    <row r="8" spans="1:17">
      <c r="A8" t="s">
        <v>44</v>
      </c>
      <c r="B8" t="s">
        <v>35</v>
      </c>
      <c r="C8" t="s">
        <v>333</v>
      </c>
      <c r="D8" t="s">
        <v>289</v>
      </c>
      <c r="E8" s="10">
        <v>45465</v>
      </c>
      <c r="F8">
        <v>58000</v>
      </c>
      <c r="G8" t="s">
        <v>303</v>
      </c>
      <c r="H8" s="1" t="str">
        <f t="shared" si="0"/>
        <v>Fatima Butt</v>
      </c>
      <c r="I8" t="str">
        <f t="shared" si="1"/>
        <v>Fatima W/o Butt</v>
      </c>
      <c r="J8" s="1" t="str">
        <f t="shared" si="2"/>
        <v>EMP</v>
      </c>
      <c r="K8" t="str">
        <f t="shared" si="3"/>
        <v>1007</v>
      </c>
      <c r="M8" t="s">
        <v>343</v>
      </c>
      <c r="N8" t="str" cm="1">
        <f t="array" ref="N8:Q8">_xlfn.TEXTSPLIT(M8,"-")</f>
        <v>Fatima</v>
      </c>
      <c r="O8" t="str">
        <v>Butt</v>
      </c>
      <c r="P8" t="str">
        <v>Female</v>
      </c>
      <c r="Q8" t="str">
        <v>HR</v>
      </c>
    </row>
    <row r="9" spans="1:17">
      <c r="A9" t="s">
        <v>304</v>
      </c>
      <c r="B9" t="s">
        <v>139</v>
      </c>
      <c r="C9" t="s">
        <v>332</v>
      </c>
      <c r="D9" t="s">
        <v>293</v>
      </c>
      <c r="E9" s="10">
        <v>44453</v>
      </c>
      <c r="F9">
        <v>85000</v>
      </c>
      <c r="G9" t="s">
        <v>305</v>
      </c>
      <c r="H9" s="1" t="str">
        <f t="shared" si="0"/>
        <v>Usman Iqbal</v>
      </c>
      <c r="I9" t="str">
        <f t="shared" si="1"/>
        <v>Usman S/o Iqbal</v>
      </c>
      <c r="J9" s="1" t="str">
        <f t="shared" si="2"/>
        <v>EMP</v>
      </c>
      <c r="K9" t="str">
        <f t="shared" si="3"/>
        <v>1008</v>
      </c>
      <c r="M9" t="s">
        <v>344</v>
      </c>
      <c r="N9" t="str" cm="1">
        <f t="array" ref="N9:Q9">_xlfn.TEXTSPLIT(M9,"-")</f>
        <v>Usman</v>
      </c>
      <c r="O9" t="str">
        <v>Iqbal</v>
      </c>
      <c r="P9" t="str">
        <v>Male</v>
      </c>
      <c r="Q9" t="str">
        <v>IT</v>
      </c>
    </row>
    <row r="10" spans="1:17">
      <c r="A10" t="s">
        <v>306</v>
      </c>
      <c r="B10" t="s">
        <v>307</v>
      </c>
      <c r="C10" t="s">
        <v>332</v>
      </c>
      <c r="D10" t="s">
        <v>295</v>
      </c>
      <c r="E10" s="10">
        <v>45108</v>
      </c>
      <c r="F10">
        <v>62000</v>
      </c>
      <c r="G10" t="s">
        <v>308</v>
      </c>
      <c r="H10" s="1" t="str">
        <f t="shared" si="0"/>
        <v>Zain Sheikh</v>
      </c>
      <c r="I10" t="str">
        <f t="shared" si="1"/>
        <v>Zain S/o Sheikh</v>
      </c>
      <c r="J10" s="1" t="str">
        <f t="shared" si="2"/>
        <v>EMP</v>
      </c>
      <c r="K10" t="str">
        <f t="shared" si="3"/>
        <v>1009</v>
      </c>
      <c r="M10" t="s">
        <v>345</v>
      </c>
      <c r="N10" t="str" cm="1">
        <f t="array" ref="N10:Q10">_xlfn.TEXTSPLIT(M10,"-")</f>
        <v>Zain</v>
      </c>
      <c r="O10" t="str">
        <v>Sheikh</v>
      </c>
      <c r="P10" t="str">
        <v>Male</v>
      </c>
      <c r="Q10" t="str">
        <v>Finance</v>
      </c>
    </row>
    <row r="11" spans="1:17">
      <c r="A11" t="s">
        <v>51</v>
      </c>
      <c r="B11" t="s">
        <v>288</v>
      </c>
      <c r="C11" t="s">
        <v>333</v>
      </c>
      <c r="D11" t="s">
        <v>298</v>
      </c>
      <c r="E11" s="10">
        <v>45350</v>
      </c>
      <c r="F11">
        <v>50000</v>
      </c>
      <c r="G11" t="s">
        <v>309</v>
      </c>
      <c r="H11" s="1" t="str">
        <f t="shared" si="0"/>
        <v>Noor Ahmed</v>
      </c>
      <c r="I11" t="str">
        <f t="shared" si="1"/>
        <v>Noor W/o Ahmed</v>
      </c>
      <c r="J11" s="1" t="str">
        <f t="shared" si="2"/>
        <v>EMP</v>
      </c>
      <c r="K11" t="str">
        <f t="shared" si="3"/>
        <v>1010</v>
      </c>
      <c r="M11" t="s">
        <v>346</v>
      </c>
      <c r="N11" t="str" cm="1">
        <f t="array" ref="N11:Q11">_xlfn.TEXTSPLIT(M11,"-")</f>
        <v>Noor</v>
      </c>
      <c r="O11" t="str">
        <v>Ahmed</v>
      </c>
      <c r="P11" t="str">
        <v>Female</v>
      </c>
      <c r="Q11" t="str">
        <v>Marketing</v>
      </c>
    </row>
    <row r="12" spans="1:17">
      <c r="A12" t="s">
        <v>285</v>
      </c>
      <c r="B12" t="s">
        <v>292</v>
      </c>
      <c r="C12" t="s">
        <v>332</v>
      </c>
      <c r="D12" t="s">
        <v>227</v>
      </c>
      <c r="E12" s="10">
        <v>44906</v>
      </c>
      <c r="F12">
        <v>47000</v>
      </c>
      <c r="G12" t="s">
        <v>310</v>
      </c>
      <c r="H12" s="1" t="str">
        <f t="shared" si="0"/>
        <v>Ali Malik</v>
      </c>
      <c r="I12" t="str">
        <f t="shared" si="1"/>
        <v>Ali S/o Malik</v>
      </c>
      <c r="J12" s="1" t="str">
        <f t="shared" si="2"/>
        <v>EMP</v>
      </c>
      <c r="K12" t="str">
        <f t="shared" si="3"/>
        <v>1011</v>
      </c>
      <c r="M12" t="s">
        <v>347</v>
      </c>
      <c r="N12" t="str" cm="1">
        <f t="array" ref="N12:Q12">_xlfn.TEXTSPLIT(M12,"-")</f>
        <v>Ali</v>
      </c>
      <c r="O12" t="str">
        <v>Malik</v>
      </c>
      <c r="P12" t="str">
        <v>Male</v>
      </c>
      <c r="Q12" t="str">
        <v>Sales</v>
      </c>
    </row>
    <row r="13" spans="1:17">
      <c r="A13" t="s">
        <v>287</v>
      </c>
      <c r="B13" t="s">
        <v>97</v>
      </c>
      <c r="C13" t="s">
        <v>333</v>
      </c>
      <c r="D13" t="s">
        <v>289</v>
      </c>
      <c r="E13" s="10">
        <v>45032</v>
      </c>
      <c r="F13">
        <v>53000</v>
      </c>
      <c r="G13" t="s">
        <v>311</v>
      </c>
      <c r="H13" s="1" t="str">
        <f t="shared" si="0"/>
        <v>Sara Khan</v>
      </c>
      <c r="I13" t="str">
        <f t="shared" si="1"/>
        <v>Sara W/o Khan</v>
      </c>
      <c r="J13" s="1" t="str">
        <f t="shared" si="2"/>
        <v>EMP</v>
      </c>
      <c r="K13" t="str">
        <f t="shared" si="3"/>
        <v>1012</v>
      </c>
      <c r="M13" t="s">
        <v>348</v>
      </c>
    </row>
    <row r="14" spans="1:17">
      <c r="A14" t="s">
        <v>291</v>
      </c>
      <c r="B14" t="s">
        <v>75</v>
      </c>
      <c r="C14" t="s">
        <v>332</v>
      </c>
      <c r="D14" t="s">
        <v>293</v>
      </c>
      <c r="E14" s="10">
        <v>44494</v>
      </c>
      <c r="F14">
        <v>90000</v>
      </c>
      <c r="G14" t="s">
        <v>312</v>
      </c>
      <c r="H14" s="1"/>
      <c r="I14" t="str">
        <f t="shared" si="1"/>
        <v>Muhammad S/o Shah</v>
      </c>
      <c r="J14" s="1" t="str">
        <f t="shared" si="2"/>
        <v>EMP</v>
      </c>
      <c r="K14" t="str">
        <f t="shared" si="3"/>
        <v>1013</v>
      </c>
    </row>
    <row r="15" spans="1:17">
      <c r="A15" t="s">
        <v>72</v>
      </c>
      <c r="B15" t="s">
        <v>288</v>
      </c>
      <c r="C15" t="s">
        <v>333</v>
      </c>
      <c r="D15" t="s">
        <v>295</v>
      </c>
      <c r="E15" s="10">
        <v>45421</v>
      </c>
      <c r="F15">
        <v>64000</v>
      </c>
      <c r="G15" t="s">
        <v>313</v>
      </c>
      <c r="H15" s="1"/>
    </row>
    <row r="16" spans="1:17">
      <c r="A16" t="s">
        <v>297</v>
      </c>
      <c r="B16" t="s">
        <v>301</v>
      </c>
      <c r="C16" t="s">
        <v>333</v>
      </c>
      <c r="D16" t="s">
        <v>298</v>
      </c>
      <c r="E16" s="10">
        <v>44729</v>
      </c>
      <c r="F16">
        <v>51000</v>
      </c>
      <c r="G16" t="s">
        <v>314</v>
      </c>
      <c r="H16" s="1"/>
    </row>
    <row r="17" spans="1:8">
      <c r="A17" t="s">
        <v>300</v>
      </c>
      <c r="B17" t="s">
        <v>97</v>
      </c>
      <c r="C17" t="s">
        <v>332</v>
      </c>
      <c r="D17" t="s">
        <v>227</v>
      </c>
      <c r="E17" s="10">
        <v>45190</v>
      </c>
      <c r="F17">
        <v>56000</v>
      </c>
      <c r="G17" t="s">
        <v>315</v>
      </c>
      <c r="H17" s="1"/>
    </row>
    <row r="18" spans="1:8">
      <c r="A18" t="s">
        <v>44</v>
      </c>
      <c r="B18" t="s">
        <v>15</v>
      </c>
      <c r="C18" t="s">
        <v>333</v>
      </c>
      <c r="D18" t="s">
        <v>289</v>
      </c>
      <c r="E18" s="10">
        <v>44533</v>
      </c>
      <c r="F18">
        <v>61000</v>
      </c>
      <c r="G18" t="s">
        <v>316</v>
      </c>
      <c r="H18" s="1"/>
    </row>
    <row r="19" spans="1:8">
      <c r="A19" t="s">
        <v>304</v>
      </c>
      <c r="B19" t="s">
        <v>292</v>
      </c>
      <c r="C19" t="s">
        <v>332</v>
      </c>
      <c r="D19" t="s">
        <v>293</v>
      </c>
      <c r="E19" s="10">
        <v>44659</v>
      </c>
      <c r="F19">
        <v>80000</v>
      </c>
      <c r="G19" t="s">
        <v>317</v>
      </c>
      <c r="H19" s="1"/>
    </row>
    <row r="20" spans="1:8">
      <c r="A20" t="s">
        <v>306</v>
      </c>
      <c r="B20" t="s">
        <v>288</v>
      </c>
      <c r="C20" t="s">
        <v>332</v>
      </c>
      <c r="D20" t="s">
        <v>295</v>
      </c>
      <c r="E20" s="10">
        <v>45157</v>
      </c>
      <c r="F20">
        <v>67000</v>
      </c>
      <c r="G20" t="s">
        <v>318</v>
      </c>
      <c r="H20" s="1"/>
    </row>
    <row r="21" spans="1:8">
      <c r="A21" t="s">
        <v>51</v>
      </c>
      <c r="B21" t="s">
        <v>307</v>
      </c>
      <c r="C21" t="s">
        <v>333</v>
      </c>
      <c r="D21" t="s">
        <v>298</v>
      </c>
      <c r="E21" s="10">
        <v>45486</v>
      </c>
      <c r="F21">
        <v>54000</v>
      </c>
      <c r="G21" t="s">
        <v>319</v>
      </c>
      <c r="H21" s="1"/>
    </row>
    <row r="22" spans="1:8">
      <c r="A22" t="s">
        <v>285</v>
      </c>
      <c r="B22" t="s">
        <v>288</v>
      </c>
      <c r="C22" t="s">
        <v>332</v>
      </c>
      <c r="D22" t="s">
        <v>227</v>
      </c>
      <c r="E22" s="10">
        <v>44281</v>
      </c>
      <c r="F22">
        <v>49000</v>
      </c>
      <c r="G22" t="s">
        <v>320</v>
      </c>
    </row>
    <row r="23" spans="1:8">
      <c r="A23" t="s">
        <v>287</v>
      </c>
      <c r="B23" t="s">
        <v>35</v>
      </c>
      <c r="C23" t="s">
        <v>333</v>
      </c>
      <c r="D23" t="s">
        <v>289</v>
      </c>
      <c r="E23" s="10">
        <v>44895</v>
      </c>
      <c r="F23">
        <v>57000</v>
      </c>
      <c r="G23" t="s">
        <v>321</v>
      </c>
    </row>
    <row r="24" spans="1:8">
      <c r="A24" t="s">
        <v>291</v>
      </c>
      <c r="B24" t="s">
        <v>288</v>
      </c>
      <c r="C24" t="s">
        <v>332</v>
      </c>
      <c r="D24" t="s">
        <v>293</v>
      </c>
      <c r="E24" s="10">
        <v>44933</v>
      </c>
      <c r="F24">
        <v>78000</v>
      </c>
      <c r="G24" t="s">
        <v>322</v>
      </c>
    </row>
    <row r="25" spans="1:8">
      <c r="A25" t="s">
        <v>72</v>
      </c>
      <c r="B25" t="s">
        <v>292</v>
      </c>
      <c r="C25" t="s">
        <v>333</v>
      </c>
      <c r="D25" t="s">
        <v>295</v>
      </c>
      <c r="E25" s="10">
        <v>44362</v>
      </c>
      <c r="F25">
        <v>70000</v>
      </c>
      <c r="G25" t="s">
        <v>323</v>
      </c>
    </row>
    <row r="26" spans="1:8">
      <c r="A26" t="s">
        <v>297</v>
      </c>
      <c r="B26" t="s">
        <v>75</v>
      </c>
      <c r="C26" t="s">
        <v>333</v>
      </c>
      <c r="D26" t="s">
        <v>298</v>
      </c>
      <c r="E26" s="10">
        <v>44827</v>
      </c>
      <c r="F26">
        <v>52000</v>
      </c>
      <c r="G26" t="s">
        <v>324</v>
      </c>
    </row>
    <row r="27" spans="1:8">
      <c r="A27" t="s">
        <v>300</v>
      </c>
      <c r="B27" t="s">
        <v>35</v>
      </c>
      <c r="C27" t="s">
        <v>332</v>
      </c>
      <c r="D27" t="s">
        <v>227</v>
      </c>
      <c r="E27" s="10">
        <v>45384</v>
      </c>
      <c r="F27">
        <v>59000</v>
      </c>
      <c r="G27" t="s">
        <v>325</v>
      </c>
    </row>
    <row r="28" spans="1:8">
      <c r="A28" t="s">
        <v>44</v>
      </c>
      <c r="B28" t="s">
        <v>97</v>
      </c>
      <c r="C28" t="s">
        <v>333</v>
      </c>
      <c r="D28" t="s">
        <v>289</v>
      </c>
      <c r="E28" s="10">
        <v>44971</v>
      </c>
      <c r="F28">
        <v>63000</v>
      </c>
      <c r="G28" t="s">
        <v>326</v>
      </c>
    </row>
    <row r="29" spans="1:8">
      <c r="A29" t="s">
        <v>304</v>
      </c>
      <c r="B29" t="s">
        <v>307</v>
      </c>
      <c r="C29" t="s">
        <v>332</v>
      </c>
      <c r="D29" t="s">
        <v>293</v>
      </c>
      <c r="E29" s="10">
        <v>44406</v>
      </c>
      <c r="F29">
        <v>88000</v>
      </c>
      <c r="G29" t="s">
        <v>327</v>
      </c>
    </row>
    <row r="30" spans="1:8">
      <c r="A30" t="s">
        <v>306</v>
      </c>
      <c r="B30" t="s">
        <v>301</v>
      </c>
      <c r="C30" t="s">
        <v>332</v>
      </c>
      <c r="D30" t="s">
        <v>295</v>
      </c>
      <c r="E30" s="10">
        <v>44687</v>
      </c>
      <c r="F30">
        <v>65000</v>
      </c>
      <c r="G30" t="s">
        <v>328</v>
      </c>
    </row>
    <row r="31" spans="1:8">
      <c r="A31" t="s">
        <v>51</v>
      </c>
      <c r="B31" t="s">
        <v>292</v>
      </c>
      <c r="C31" t="s">
        <v>333</v>
      </c>
      <c r="D31" t="s">
        <v>298</v>
      </c>
      <c r="E31" s="10">
        <v>45217</v>
      </c>
      <c r="F31">
        <v>55000</v>
      </c>
      <c r="G31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3CF9-4AE0-4E47-8818-04B43B92211A}">
  <dimension ref="A1:Q36"/>
  <sheetViews>
    <sheetView workbookViewId="0">
      <selection activeCell="S9" sqref="S9"/>
    </sheetView>
  </sheetViews>
  <sheetFormatPr defaultRowHeight="15"/>
  <sheetData>
    <row r="1" spans="1:17">
      <c r="A1" t="s">
        <v>0</v>
      </c>
      <c r="B1" t="s">
        <v>5</v>
      </c>
      <c r="C1" t="s">
        <v>4</v>
      </c>
      <c r="D1" t="s">
        <v>9</v>
      </c>
      <c r="E1" t="s">
        <v>227</v>
      </c>
      <c r="G1" t="s">
        <v>83</v>
      </c>
      <c r="H1" t="s">
        <v>38</v>
      </c>
      <c r="I1" t="s">
        <v>17</v>
      </c>
      <c r="J1">
        <v>7</v>
      </c>
      <c r="K1">
        <v>10500</v>
      </c>
    </row>
    <row r="2" spans="1:17">
      <c r="A2" t="s">
        <v>13</v>
      </c>
      <c r="B2" t="s">
        <v>38</v>
      </c>
      <c r="C2" t="s">
        <v>37</v>
      </c>
      <c r="D2">
        <v>2</v>
      </c>
      <c r="E2">
        <v>150000</v>
      </c>
      <c r="G2" t="s">
        <v>85</v>
      </c>
      <c r="H2" t="s">
        <v>92</v>
      </c>
      <c r="I2" t="s">
        <v>37</v>
      </c>
      <c r="J2">
        <v>2</v>
      </c>
      <c r="K2">
        <v>150000</v>
      </c>
    </row>
    <row r="3" spans="1:17">
      <c r="A3" t="s">
        <v>23</v>
      </c>
      <c r="B3" t="s">
        <v>92</v>
      </c>
      <c r="C3" t="s">
        <v>17</v>
      </c>
      <c r="D3">
        <v>5</v>
      </c>
      <c r="E3">
        <v>7500</v>
      </c>
      <c r="G3" t="s">
        <v>88</v>
      </c>
      <c r="H3" t="s">
        <v>28</v>
      </c>
      <c r="I3" t="s">
        <v>27</v>
      </c>
      <c r="J3">
        <v>1</v>
      </c>
      <c r="K3">
        <v>35000</v>
      </c>
      <c r="M3" t="s">
        <v>350</v>
      </c>
      <c r="N3" t="s">
        <v>351</v>
      </c>
    </row>
    <row r="4" spans="1:17">
      <c r="A4" t="s">
        <v>33</v>
      </c>
      <c r="B4" t="s">
        <v>28</v>
      </c>
      <c r="C4" t="s">
        <v>76</v>
      </c>
      <c r="D4">
        <v>3</v>
      </c>
      <c r="E4">
        <v>12000</v>
      </c>
      <c r="G4" t="s">
        <v>95</v>
      </c>
      <c r="H4" t="s">
        <v>18</v>
      </c>
      <c r="I4" t="s">
        <v>76</v>
      </c>
      <c r="J4">
        <v>4</v>
      </c>
      <c r="K4">
        <v>16000</v>
      </c>
      <c r="M4">
        <f>SUBTOTAL(9,E2:E31)</f>
        <v>572500</v>
      </c>
      <c r="N4">
        <f>_xlfn.AGGREGATE(9,6,E2:E31)</f>
        <v>572500</v>
      </c>
    </row>
    <row r="5" spans="1:17">
      <c r="A5" t="s">
        <v>43</v>
      </c>
      <c r="B5" t="s">
        <v>18</v>
      </c>
      <c r="C5" t="s">
        <v>27</v>
      </c>
      <c r="D5">
        <v>2</v>
      </c>
      <c r="E5">
        <v>70000</v>
      </c>
      <c r="G5" t="s">
        <v>99</v>
      </c>
      <c r="H5" t="s">
        <v>38</v>
      </c>
      <c r="I5" t="s">
        <v>37</v>
      </c>
      <c r="J5">
        <v>3</v>
      </c>
      <c r="K5">
        <v>225000</v>
      </c>
      <c r="N5" t="s">
        <v>352</v>
      </c>
    </row>
    <row r="6" spans="1:17">
      <c r="A6" t="s">
        <v>50</v>
      </c>
      <c r="B6" t="s">
        <v>38</v>
      </c>
      <c r="C6" t="s">
        <v>17</v>
      </c>
      <c r="D6">
        <v>4</v>
      </c>
      <c r="E6">
        <v>6000</v>
      </c>
      <c r="G6" t="s">
        <v>349</v>
      </c>
      <c r="H6" t="s">
        <v>92</v>
      </c>
      <c r="I6" t="s">
        <v>17</v>
      </c>
      <c r="J6">
        <v>2</v>
      </c>
      <c r="K6">
        <v>3000</v>
      </c>
      <c r="M6" t="str" cm="1">
        <f t="array" ref="M6:Q36">_xlfn.VSTACK(A1:E13,G1:K18)</f>
        <v>Order_ID</v>
      </c>
      <c r="N6" t="str">
        <v>Region</v>
      </c>
      <c r="O6" t="str">
        <v>Product</v>
      </c>
      <c r="P6" t="str">
        <v>Quantity</v>
      </c>
      <c r="Q6" t="str">
        <v>Sales</v>
      </c>
    </row>
    <row r="7" spans="1:17">
      <c r="A7" t="s">
        <v>58</v>
      </c>
      <c r="B7" t="s">
        <v>92</v>
      </c>
      <c r="C7" t="s">
        <v>37</v>
      </c>
      <c r="D7">
        <v>1</v>
      </c>
      <c r="E7">
        <v>75000</v>
      </c>
      <c r="G7" t="s">
        <v>104</v>
      </c>
      <c r="H7" t="s">
        <v>28</v>
      </c>
      <c r="I7" t="s">
        <v>76</v>
      </c>
      <c r="J7">
        <v>6</v>
      </c>
      <c r="K7">
        <v>24000</v>
      </c>
      <c r="M7" t="str">
        <v>ORD-1001</v>
      </c>
      <c r="N7" t="str">
        <v>South</v>
      </c>
      <c r="O7" t="str">
        <v>Laptop</v>
      </c>
      <c r="P7">
        <v>2</v>
      </c>
      <c r="Q7">
        <v>150000</v>
      </c>
    </row>
    <row r="8" spans="1:17">
      <c r="A8" t="s">
        <v>62</v>
      </c>
      <c r="B8" t="s">
        <v>28</v>
      </c>
      <c r="C8" t="s">
        <v>27</v>
      </c>
      <c r="D8">
        <v>3</v>
      </c>
      <c r="E8">
        <v>105000</v>
      </c>
      <c r="G8" t="s">
        <v>106</v>
      </c>
      <c r="H8" t="s">
        <v>18</v>
      </c>
      <c r="I8" t="s">
        <v>27</v>
      </c>
      <c r="J8">
        <v>2</v>
      </c>
      <c r="K8">
        <v>70000</v>
      </c>
      <c r="M8" t="str">
        <v>ORD-1002</v>
      </c>
      <c r="N8" t="str">
        <v>North</v>
      </c>
      <c r="O8" t="str">
        <v>Mouse</v>
      </c>
      <c r="P8">
        <v>5</v>
      </c>
      <c r="Q8">
        <v>7500</v>
      </c>
    </row>
    <row r="9" spans="1:17">
      <c r="A9" t="s">
        <v>68</v>
      </c>
      <c r="B9" t="s">
        <v>18</v>
      </c>
      <c r="C9" t="s">
        <v>76</v>
      </c>
      <c r="D9">
        <v>5</v>
      </c>
      <c r="E9">
        <v>20000</v>
      </c>
      <c r="G9" t="s">
        <v>108</v>
      </c>
      <c r="H9" t="s">
        <v>38</v>
      </c>
      <c r="I9" t="s">
        <v>17</v>
      </c>
      <c r="J9">
        <v>3</v>
      </c>
      <c r="K9">
        <v>4500</v>
      </c>
      <c r="M9" t="str">
        <v>ORD-1003</v>
      </c>
      <c r="N9" t="str">
        <v>East</v>
      </c>
      <c r="O9" t="str">
        <v>Keyboard</v>
      </c>
      <c r="P9">
        <v>3</v>
      </c>
      <c r="Q9">
        <v>12000</v>
      </c>
    </row>
    <row r="10" spans="1:17">
      <c r="A10" t="s">
        <v>71</v>
      </c>
      <c r="B10" t="s">
        <v>38</v>
      </c>
      <c r="C10" t="s">
        <v>37</v>
      </c>
      <c r="D10">
        <v>1</v>
      </c>
      <c r="E10">
        <v>75000</v>
      </c>
      <c r="G10" t="s">
        <v>111</v>
      </c>
      <c r="H10" t="s">
        <v>92</v>
      </c>
      <c r="I10" t="s">
        <v>37</v>
      </c>
      <c r="J10">
        <v>1</v>
      </c>
      <c r="K10">
        <v>75000</v>
      </c>
      <c r="M10" t="str">
        <v>ORD-1004</v>
      </c>
      <c r="N10" t="str">
        <v>West</v>
      </c>
      <c r="O10" t="str">
        <v>Monitor</v>
      </c>
      <c r="P10">
        <v>2</v>
      </c>
      <c r="Q10">
        <v>70000</v>
      </c>
    </row>
    <row r="11" spans="1:17">
      <c r="A11" t="s">
        <v>74</v>
      </c>
      <c r="B11" t="s">
        <v>92</v>
      </c>
      <c r="C11" t="s">
        <v>17</v>
      </c>
      <c r="D11">
        <v>6</v>
      </c>
      <c r="E11">
        <v>9000</v>
      </c>
      <c r="G11" t="s">
        <v>113</v>
      </c>
      <c r="H11" t="s">
        <v>28</v>
      </c>
      <c r="I11" t="s">
        <v>27</v>
      </c>
      <c r="J11">
        <v>4</v>
      </c>
      <c r="K11">
        <v>140000</v>
      </c>
      <c r="M11" t="str">
        <v>ORD-1005</v>
      </c>
      <c r="N11" t="str">
        <v>South</v>
      </c>
      <c r="O11" t="str">
        <v>Mouse</v>
      </c>
      <c r="P11">
        <v>4</v>
      </c>
      <c r="Q11">
        <v>6000</v>
      </c>
    </row>
    <row r="12" spans="1:17">
      <c r="A12" t="s">
        <v>78</v>
      </c>
      <c r="B12" t="s">
        <v>28</v>
      </c>
      <c r="C12" t="s">
        <v>76</v>
      </c>
      <c r="D12">
        <v>2</v>
      </c>
      <c r="E12">
        <v>8000</v>
      </c>
      <c r="G12" t="s">
        <v>115</v>
      </c>
      <c r="H12" t="s">
        <v>18</v>
      </c>
      <c r="I12" t="s">
        <v>76</v>
      </c>
      <c r="J12">
        <v>2</v>
      </c>
      <c r="K12">
        <v>8000</v>
      </c>
      <c r="M12" t="str">
        <v>ORD-1006</v>
      </c>
      <c r="N12" t="str">
        <v>North</v>
      </c>
      <c r="O12" t="str">
        <v>Laptop</v>
      </c>
      <c r="P12">
        <v>1</v>
      </c>
      <c r="Q12">
        <v>75000</v>
      </c>
    </row>
    <row r="13" spans="1:17">
      <c r="A13" t="s">
        <v>80</v>
      </c>
      <c r="B13" t="s">
        <v>18</v>
      </c>
      <c r="C13" t="s">
        <v>27</v>
      </c>
      <c r="D13">
        <v>1</v>
      </c>
      <c r="E13">
        <v>35000</v>
      </c>
      <c r="G13" t="s">
        <v>117</v>
      </c>
      <c r="H13" t="s">
        <v>38</v>
      </c>
      <c r="I13" t="s">
        <v>37</v>
      </c>
      <c r="J13">
        <v>2</v>
      </c>
      <c r="K13">
        <v>150000</v>
      </c>
      <c r="M13" t="str">
        <v>ORD-1007</v>
      </c>
      <c r="N13" t="str">
        <v>East</v>
      </c>
      <c r="O13" t="str">
        <v>Monitor</v>
      </c>
      <c r="P13">
        <v>3</v>
      </c>
      <c r="Q13">
        <v>105000</v>
      </c>
    </row>
    <row r="14" spans="1:17">
      <c r="G14" t="s">
        <v>118</v>
      </c>
      <c r="H14" t="s">
        <v>92</v>
      </c>
      <c r="I14" t="s">
        <v>17</v>
      </c>
      <c r="J14">
        <v>4</v>
      </c>
      <c r="K14">
        <v>6000</v>
      </c>
      <c r="M14" t="str">
        <v>ORD-1008</v>
      </c>
      <c r="N14" t="str">
        <v>West</v>
      </c>
      <c r="O14" t="str">
        <v>Keyboard</v>
      </c>
      <c r="P14">
        <v>5</v>
      </c>
      <c r="Q14">
        <v>20000</v>
      </c>
    </row>
    <row r="15" spans="1:17">
      <c r="G15" t="s">
        <v>120</v>
      </c>
      <c r="H15" t="s">
        <v>28</v>
      </c>
      <c r="I15" t="s">
        <v>76</v>
      </c>
      <c r="J15">
        <v>3</v>
      </c>
      <c r="K15">
        <v>12000</v>
      </c>
      <c r="M15" t="str">
        <v>ORD-1009</v>
      </c>
      <c r="N15" t="str">
        <v>South</v>
      </c>
      <c r="O15" t="str">
        <v>Laptop</v>
      </c>
      <c r="P15">
        <v>1</v>
      </c>
      <c r="Q15">
        <v>75000</v>
      </c>
    </row>
    <row r="16" spans="1:17">
      <c r="G16" t="s">
        <v>122</v>
      </c>
      <c r="H16" t="s">
        <v>18</v>
      </c>
      <c r="I16" t="s">
        <v>27</v>
      </c>
      <c r="J16">
        <v>5</v>
      </c>
      <c r="K16">
        <v>175000</v>
      </c>
      <c r="M16" t="str">
        <v>ORD-1010</v>
      </c>
      <c r="N16" t="str">
        <v>North</v>
      </c>
      <c r="O16" t="str">
        <v>Mouse</v>
      </c>
      <c r="P16">
        <v>6</v>
      </c>
      <c r="Q16">
        <v>9000</v>
      </c>
    </row>
    <row r="17" spans="7:17">
      <c r="G17" t="s">
        <v>124</v>
      </c>
      <c r="H17" t="s">
        <v>38</v>
      </c>
      <c r="I17" t="s">
        <v>17</v>
      </c>
      <c r="J17">
        <v>5</v>
      </c>
      <c r="K17">
        <v>7500</v>
      </c>
      <c r="M17" t="str">
        <v>ORD-1011</v>
      </c>
      <c r="N17" t="str">
        <v>East</v>
      </c>
      <c r="O17" t="str">
        <v>Keyboard</v>
      </c>
      <c r="P17">
        <v>2</v>
      </c>
      <c r="Q17">
        <v>8000</v>
      </c>
    </row>
    <row r="18" spans="7:17">
      <c r="G18" t="s">
        <v>126</v>
      </c>
      <c r="H18" t="s">
        <v>92</v>
      </c>
      <c r="I18" t="s">
        <v>37</v>
      </c>
      <c r="J18">
        <v>3</v>
      </c>
      <c r="K18">
        <v>225000</v>
      </c>
      <c r="M18" t="str">
        <v>ORD-1012</v>
      </c>
      <c r="N18" t="str">
        <v>West</v>
      </c>
      <c r="O18" t="str">
        <v>Monitor</v>
      </c>
      <c r="P18">
        <v>1</v>
      </c>
      <c r="Q18">
        <v>35000</v>
      </c>
    </row>
    <row r="19" spans="7:17">
      <c r="M19" t="str">
        <v>ORD-1013</v>
      </c>
      <c r="N19" t="str">
        <v>South</v>
      </c>
      <c r="O19" t="str">
        <v>Mouse</v>
      </c>
      <c r="P19">
        <v>7</v>
      </c>
      <c r="Q19">
        <v>10500</v>
      </c>
    </row>
    <row r="20" spans="7:17">
      <c r="M20" t="str">
        <v>ORD-1014</v>
      </c>
      <c r="N20" t="str">
        <v>North</v>
      </c>
      <c r="O20" t="str">
        <v>Laptop</v>
      </c>
      <c r="P20">
        <v>2</v>
      </c>
      <c r="Q20">
        <v>150000</v>
      </c>
    </row>
    <row r="21" spans="7:17">
      <c r="M21" t="str">
        <v>ORD-1015</v>
      </c>
      <c r="N21" t="str">
        <v>East</v>
      </c>
      <c r="O21" t="str">
        <v>Monitor</v>
      </c>
      <c r="P21">
        <v>1</v>
      </c>
      <c r="Q21">
        <v>35000</v>
      </c>
    </row>
    <row r="22" spans="7:17">
      <c r="M22" t="str">
        <v>ORD-1016</v>
      </c>
      <c r="N22" t="str">
        <v>West</v>
      </c>
      <c r="O22" t="str">
        <v>Keyboard</v>
      </c>
      <c r="P22">
        <v>4</v>
      </c>
      <c r="Q22">
        <v>16000</v>
      </c>
    </row>
    <row r="23" spans="7:17">
      <c r="M23" t="str">
        <v>ORD-1017</v>
      </c>
      <c r="N23" t="str">
        <v>South</v>
      </c>
      <c r="O23" t="str">
        <v>Laptop</v>
      </c>
      <c r="P23">
        <v>3</v>
      </c>
      <c r="Q23">
        <v>225000</v>
      </c>
    </row>
    <row r="24" spans="7:17">
      <c r="M24" t="str">
        <v>ORD-1018</v>
      </c>
      <c r="N24" t="str">
        <v>North</v>
      </c>
      <c r="O24" t="str">
        <v>Mouse</v>
      </c>
      <c r="P24">
        <v>2</v>
      </c>
      <c r="Q24">
        <v>3000</v>
      </c>
    </row>
    <row r="25" spans="7:17">
      <c r="M25" t="str">
        <v>ORD-1019</v>
      </c>
      <c r="N25" t="str">
        <v>East</v>
      </c>
      <c r="O25" t="str">
        <v>Keyboard</v>
      </c>
      <c r="P25">
        <v>6</v>
      </c>
      <c r="Q25">
        <v>24000</v>
      </c>
    </row>
    <row r="26" spans="7:17">
      <c r="M26" t="str">
        <v>ORD-1020</v>
      </c>
      <c r="N26" t="str">
        <v>West</v>
      </c>
      <c r="O26" t="str">
        <v>Monitor</v>
      </c>
      <c r="P26">
        <v>2</v>
      </c>
      <c r="Q26">
        <v>70000</v>
      </c>
    </row>
    <row r="27" spans="7:17">
      <c r="M27" t="str">
        <v>ORD-1021</v>
      </c>
      <c r="N27" t="str">
        <v>South</v>
      </c>
      <c r="O27" t="str">
        <v>Mouse</v>
      </c>
      <c r="P27">
        <v>3</v>
      </c>
      <c r="Q27">
        <v>4500</v>
      </c>
    </row>
    <row r="28" spans="7:17">
      <c r="M28" t="str">
        <v>ORD-1022</v>
      </c>
      <c r="N28" t="str">
        <v>North</v>
      </c>
      <c r="O28" t="str">
        <v>Laptop</v>
      </c>
      <c r="P28">
        <v>1</v>
      </c>
      <c r="Q28">
        <v>75000</v>
      </c>
    </row>
    <row r="29" spans="7:17">
      <c r="M29" t="str">
        <v>ORD-1023</v>
      </c>
      <c r="N29" t="str">
        <v>East</v>
      </c>
      <c r="O29" t="str">
        <v>Monitor</v>
      </c>
      <c r="P29">
        <v>4</v>
      </c>
      <c r="Q29">
        <v>140000</v>
      </c>
    </row>
    <row r="30" spans="7:17">
      <c r="M30" t="str">
        <v>ORD-1024</v>
      </c>
      <c r="N30" t="str">
        <v>West</v>
      </c>
      <c r="O30" t="str">
        <v>Keyboard</v>
      </c>
      <c r="P30">
        <v>2</v>
      </c>
      <c r="Q30">
        <v>8000</v>
      </c>
    </row>
    <row r="31" spans="7:17">
      <c r="M31" t="str">
        <v>ORD-1025</v>
      </c>
      <c r="N31" t="str">
        <v>South</v>
      </c>
      <c r="O31" t="str">
        <v>Laptop</v>
      </c>
      <c r="P31">
        <v>2</v>
      </c>
      <c r="Q31">
        <v>150000</v>
      </c>
    </row>
    <row r="32" spans="7:17">
      <c r="M32" t="str">
        <v>ORD-1026</v>
      </c>
      <c r="N32" t="str">
        <v>North</v>
      </c>
      <c r="O32" t="str">
        <v>Mouse</v>
      </c>
      <c r="P32">
        <v>4</v>
      </c>
      <c r="Q32">
        <v>6000</v>
      </c>
    </row>
    <row r="33" spans="13:17">
      <c r="M33" t="str">
        <v>ORD-1027</v>
      </c>
      <c r="N33" t="str">
        <v>East</v>
      </c>
      <c r="O33" t="str">
        <v>Keyboard</v>
      </c>
      <c r="P33">
        <v>3</v>
      </c>
      <c r="Q33">
        <v>12000</v>
      </c>
    </row>
    <row r="34" spans="13:17">
      <c r="M34" t="str">
        <v>ORD-1028</v>
      </c>
      <c r="N34" t="str">
        <v>West</v>
      </c>
      <c r="O34" t="str">
        <v>Monitor</v>
      </c>
      <c r="P34">
        <v>5</v>
      </c>
      <c r="Q34">
        <v>175000</v>
      </c>
    </row>
    <row r="35" spans="13:17">
      <c r="M35" t="str">
        <v>ORD-1029</v>
      </c>
      <c r="N35" t="str">
        <v>South</v>
      </c>
      <c r="O35" t="str">
        <v>Mouse</v>
      </c>
      <c r="P35">
        <v>5</v>
      </c>
      <c r="Q35">
        <v>7500</v>
      </c>
    </row>
    <row r="36" spans="13:17">
      <c r="M36" t="str">
        <v>ORD-1030</v>
      </c>
      <c r="N36" t="str">
        <v>North</v>
      </c>
      <c r="O36" t="str">
        <v>Laptop</v>
      </c>
      <c r="P36">
        <v>3</v>
      </c>
      <c r="Q36">
        <v>225000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60B7-6934-4B15-A8FB-F355D82F1DCA}">
  <dimension ref="A1:U366"/>
  <sheetViews>
    <sheetView tabSelected="1" workbookViewId="0">
      <selection activeCell="N6" sqref="N6"/>
    </sheetView>
  </sheetViews>
  <sheetFormatPr defaultRowHeight="15"/>
  <cols>
    <col min="1" max="1" width="8.28515625" bestFit="1" customWidth="1"/>
    <col min="2" max="2" width="10.140625" bestFit="1" customWidth="1"/>
    <col min="3" max="3" width="14.85546875" bestFit="1" customWidth="1"/>
    <col min="4" max="4" width="19.42578125" bestFit="1" customWidth="1"/>
    <col min="5" max="5" width="12.7109375" bestFit="1" customWidth="1"/>
    <col min="6" max="6" width="6" bestFit="1" customWidth="1"/>
    <col min="7" max="7" width="8" bestFit="1" customWidth="1"/>
    <col min="8" max="8" width="28.140625" customWidth="1"/>
    <col min="9" max="9" width="11.7109375" bestFit="1" customWidth="1"/>
    <col min="10" max="10" width="14.42578125" bestFit="1" customWidth="1"/>
    <col min="11" max="11" width="11.7109375" bestFit="1" customWidth="1"/>
    <col min="14" max="14" width="12.42578125" bestFit="1" customWidth="1"/>
    <col min="15" max="15" width="18.28515625" bestFit="1" customWidth="1"/>
    <col min="16" max="16" width="12.42578125" bestFit="1" customWidth="1"/>
    <col min="17" max="17" width="18.28515625" bestFit="1" customWidth="1"/>
  </cols>
  <sheetData>
    <row r="1" spans="1:21">
      <c r="A1" t="s">
        <v>224</v>
      </c>
      <c r="B1" t="s">
        <v>178</v>
      </c>
      <c r="C1" t="s">
        <v>4</v>
      </c>
      <c r="D1" t="s">
        <v>180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</row>
    <row r="2" spans="1:21">
      <c r="A2">
        <v>1743</v>
      </c>
      <c r="B2" t="s">
        <v>203</v>
      </c>
      <c r="C2" t="str">
        <f>_xlfn.XLOOKUP(B2,product!$A$2:$A$20,product!$B$2:$B$20)</f>
        <v>Laptop Stand</v>
      </c>
      <c r="D2" t="str">
        <f>_xlfn.XLOOKUP(C2,product!$B$2:$B$20,product!$C$2:$C$20)</f>
        <v>Laptop Accessories</v>
      </c>
      <c r="E2">
        <v>175</v>
      </c>
      <c r="F2">
        <v>500</v>
      </c>
      <c r="G2">
        <v>87500</v>
      </c>
      <c r="H2" s="12">
        <v>44562</v>
      </c>
      <c r="I2" t="s">
        <v>233</v>
      </c>
      <c r="J2" t="s">
        <v>234</v>
      </c>
      <c r="K2" t="s">
        <v>235</v>
      </c>
      <c r="L2" t="s">
        <v>236</v>
      </c>
    </row>
    <row r="3" spans="1:21">
      <c r="A3">
        <v>1447</v>
      </c>
      <c r="B3" t="s">
        <v>196</v>
      </c>
      <c r="C3" t="str">
        <f>_xlfn.XLOOKUP(B3,product!$A$2:$A$20,product!$B$2:$B$20)</f>
        <v>SSD</v>
      </c>
      <c r="D3" t="str">
        <f>_xlfn.XLOOKUP(C3,product!$B$2:$B$20,product!$C$2:$C$20)</f>
        <v>Internal Hardware</v>
      </c>
      <c r="E3">
        <v>293</v>
      </c>
      <c r="F3">
        <v>9500</v>
      </c>
      <c r="G3">
        <v>2783500</v>
      </c>
      <c r="H3" s="12">
        <v>44563</v>
      </c>
      <c r="I3" t="s">
        <v>237</v>
      </c>
      <c r="J3" t="s">
        <v>238</v>
      </c>
      <c r="K3" t="s">
        <v>239</v>
      </c>
      <c r="L3" t="s">
        <v>240</v>
      </c>
    </row>
    <row r="4" spans="1:21">
      <c r="A4">
        <v>1802</v>
      </c>
      <c r="B4" t="s">
        <v>217</v>
      </c>
      <c r="C4" t="str">
        <f>_xlfn.XLOOKUP(B4,product!$A$2:$A$20,product!$B$2:$B$20)</f>
        <v>Wireless Router</v>
      </c>
      <c r="D4" t="str">
        <f>_xlfn.XLOOKUP(C4,product!$B$2:$B$20,product!$C$2:$C$20)</f>
        <v>Network</v>
      </c>
      <c r="E4">
        <v>177</v>
      </c>
      <c r="F4">
        <v>1350</v>
      </c>
      <c r="G4">
        <v>238950</v>
      </c>
      <c r="H4" s="12">
        <v>44564</v>
      </c>
      <c r="I4" t="s">
        <v>90</v>
      </c>
      <c r="J4" t="s">
        <v>241</v>
      </c>
      <c r="K4" t="s">
        <v>235</v>
      </c>
      <c r="L4" t="s">
        <v>242</v>
      </c>
    </row>
    <row r="5" spans="1:21">
      <c r="A5">
        <v>1495</v>
      </c>
      <c r="B5" t="s">
        <v>189</v>
      </c>
      <c r="C5" t="str">
        <f>_xlfn.XLOOKUP(B5,product!$A$2:$A$20,product!$B$2:$B$20)</f>
        <v>Monitor</v>
      </c>
      <c r="D5" t="str">
        <f>_xlfn.XLOOKUP(C5,product!$B$2:$B$20,product!$C$2:$C$20)</f>
        <v>Display</v>
      </c>
      <c r="E5">
        <v>192</v>
      </c>
      <c r="F5">
        <v>1350</v>
      </c>
      <c r="G5">
        <v>259200</v>
      </c>
      <c r="H5" s="12">
        <v>44565</v>
      </c>
      <c r="I5" t="s">
        <v>243</v>
      </c>
      <c r="J5" t="s">
        <v>234</v>
      </c>
      <c r="K5" t="s">
        <v>239</v>
      </c>
      <c r="L5" t="s">
        <v>244</v>
      </c>
    </row>
    <row r="6" spans="1:21">
      <c r="A6">
        <v>1570</v>
      </c>
      <c r="B6" t="s">
        <v>203</v>
      </c>
      <c r="C6" t="str">
        <f>_xlfn.XLOOKUP(B6,product!$A$2:$A$20,product!$B$2:$B$20)</f>
        <v>Laptop Stand</v>
      </c>
      <c r="D6" t="str">
        <f>_xlfn.XLOOKUP(C6,product!$B$2:$B$20,product!$C$2:$C$20)</f>
        <v>Laptop Accessories</v>
      </c>
      <c r="E6">
        <v>148</v>
      </c>
      <c r="F6">
        <v>500</v>
      </c>
      <c r="G6">
        <v>74000</v>
      </c>
      <c r="H6" s="12">
        <v>44566</v>
      </c>
      <c r="I6" t="s">
        <v>245</v>
      </c>
      <c r="J6" t="s">
        <v>234</v>
      </c>
      <c r="K6" t="s">
        <v>235</v>
      </c>
      <c r="L6" t="s">
        <v>246</v>
      </c>
    </row>
    <row r="7" spans="1:21">
      <c r="A7">
        <v>1822</v>
      </c>
      <c r="B7" t="s">
        <v>191</v>
      </c>
      <c r="C7" t="str">
        <f>_xlfn.XLOOKUP(B7,product!$A$2:$A$20,product!$B$2:$B$20)</f>
        <v>Graphics Card</v>
      </c>
      <c r="D7" t="str">
        <f>_xlfn.XLOOKUP(C7,product!$B$2:$B$20,product!$C$2:$C$20)</f>
        <v>Internal Hardware</v>
      </c>
      <c r="E7">
        <v>262</v>
      </c>
      <c r="F7">
        <v>12000</v>
      </c>
      <c r="G7">
        <v>3144000</v>
      </c>
      <c r="H7" s="12">
        <v>44567</v>
      </c>
      <c r="I7" t="s">
        <v>247</v>
      </c>
      <c r="J7" t="s">
        <v>238</v>
      </c>
      <c r="K7" t="s">
        <v>248</v>
      </c>
      <c r="L7" t="s">
        <v>249</v>
      </c>
    </row>
    <row r="8" spans="1:21">
      <c r="A8">
        <v>1699</v>
      </c>
      <c r="B8" t="s">
        <v>181</v>
      </c>
      <c r="C8" t="str">
        <f>_xlfn.XLOOKUP(B8,product!$A$2:$A$20,product!$B$2:$B$20)</f>
        <v>Keyboard</v>
      </c>
      <c r="D8" t="str">
        <f>_xlfn.XLOOKUP(C8,product!$B$2:$B$20,product!$C$2:$C$20)</f>
        <v>Input Device</v>
      </c>
      <c r="E8">
        <v>259</v>
      </c>
      <c r="F8">
        <v>800</v>
      </c>
      <c r="G8">
        <v>207200</v>
      </c>
      <c r="H8" s="12">
        <v>44568</v>
      </c>
      <c r="I8" t="s">
        <v>250</v>
      </c>
      <c r="J8" t="s">
        <v>234</v>
      </c>
      <c r="K8" t="s">
        <v>239</v>
      </c>
      <c r="L8" t="s">
        <v>251</v>
      </c>
    </row>
    <row r="9" spans="1:21">
      <c r="A9">
        <v>1492</v>
      </c>
      <c r="B9" t="s">
        <v>189</v>
      </c>
      <c r="C9" t="str">
        <f>_xlfn.XLOOKUP(B9,product!$A$2:$A$20,product!$B$2:$B$20)</f>
        <v>Monitor</v>
      </c>
      <c r="D9" t="str">
        <f>_xlfn.XLOOKUP(C9,product!$B$2:$B$20,product!$C$2:$C$20)</f>
        <v>Display</v>
      </c>
      <c r="E9">
        <v>232</v>
      </c>
      <c r="F9">
        <v>15000</v>
      </c>
      <c r="G9">
        <v>3480000</v>
      </c>
      <c r="H9" s="12">
        <v>44569</v>
      </c>
      <c r="I9" t="s">
        <v>64</v>
      </c>
      <c r="J9" t="s">
        <v>238</v>
      </c>
      <c r="K9" t="s">
        <v>235</v>
      </c>
      <c r="L9" t="s">
        <v>252</v>
      </c>
    </row>
    <row r="10" spans="1:21">
      <c r="A10">
        <v>1670</v>
      </c>
      <c r="B10" t="s">
        <v>183</v>
      </c>
      <c r="C10" t="str">
        <f>_xlfn.XLOOKUP(B10,product!$A$2:$A$20,product!$B$2:$B$20)</f>
        <v>Mouse</v>
      </c>
      <c r="D10" t="str">
        <f>_xlfn.XLOOKUP(C10,product!$B$2:$B$20,product!$C$2:$C$20)</f>
        <v>Input Device</v>
      </c>
      <c r="E10">
        <v>153</v>
      </c>
      <c r="F10">
        <v>500</v>
      </c>
      <c r="G10">
        <v>76500</v>
      </c>
      <c r="H10" s="12">
        <v>44570</v>
      </c>
      <c r="I10" t="s">
        <v>59</v>
      </c>
      <c r="J10" t="s">
        <v>234</v>
      </c>
      <c r="K10" t="s">
        <v>248</v>
      </c>
      <c r="L10" t="s">
        <v>253</v>
      </c>
    </row>
    <row r="11" spans="1:21">
      <c r="A11">
        <v>1244</v>
      </c>
      <c r="B11" t="s">
        <v>208</v>
      </c>
      <c r="C11" t="str">
        <f>_xlfn.XLOOKUP(B11,product!$A$2:$A$20,product!$B$2:$B$20)</f>
        <v>Headset</v>
      </c>
      <c r="D11" t="str">
        <f>_xlfn.XLOOKUP(C11,product!$B$2:$B$20,product!$C$2:$C$20)</f>
        <v>Audio</v>
      </c>
      <c r="E11">
        <v>192</v>
      </c>
      <c r="F11">
        <v>1500</v>
      </c>
      <c r="G11">
        <v>288000</v>
      </c>
      <c r="H11" s="12">
        <v>44571</v>
      </c>
      <c r="I11" t="s">
        <v>254</v>
      </c>
      <c r="J11" t="s">
        <v>234</v>
      </c>
      <c r="K11" t="s">
        <v>239</v>
      </c>
      <c r="L11" t="s">
        <v>255</v>
      </c>
      <c r="N11" t="s">
        <v>4</v>
      </c>
      <c r="O11" t="s">
        <v>180</v>
      </c>
    </row>
    <row r="12" spans="1:21">
      <c r="A12">
        <v>1502</v>
      </c>
      <c r="B12" t="s">
        <v>184</v>
      </c>
      <c r="C12" t="str">
        <f>_xlfn.XLOOKUP(B12,product!$A$2:$A$20,product!$B$2:$B$20)</f>
        <v>Hard Drive</v>
      </c>
      <c r="D12" t="str">
        <f>_xlfn.XLOOKUP(C12,product!$B$2:$B$20,product!$C$2:$C$20)</f>
        <v>Storage</v>
      </c>
      <c r="E12">
        <v>116</v>
      </c>
      <c r="F12">
        <v>8000</v>
      </c>
      <c r="G12">
        <v>928000</v>
      </c>
      <c r="H12" s="12">
        <v>44572</v>
      </c>
      <c r="I12" t="s">
        <v>256</v>
      </c>
      <c r="J12" t="s">
        <v>238</v>
      </c>
      <c r="K12" t="s">
        <v>248</v>
      </c>
      <c r="L12" t="s">
        <v>257</v>
      </c>
      <c r="N12" t="s">
        <v>204</v>
      </c>
      <c r="O12" t="s">
        <v>205</v>
      </c>
    </row>
    <row r="13" spans="1:21">
      <c r="A13">
        <v>1493</v>
      </c>
      <c r="B13" t="s">
        <v>189</v>
      </c>
      <c r="C13" t="str">
        <f>_xlfn.XLOOKUP(B13,product!$A$2:$A$20,product!$B$2:$B$20)</f>
        <v>Monitor</v>
      </c>
      <c r="D13" t="str">
        <f>_xlfn.XLOOKUP(C13,product!$B$2:$B$20,product!$C$2:$C$20)</f>
        <v>Display</v>
      </c>
      <c r="E13">
        <v>153</v>
      </c>
      <c r="F13">
        <v>15000</v>
      </c>
      <c r="G13">
        <v>2295000</v>
      </c>
      <c r="H13" s="12">
        <v>44573</v>
      </c>
      <c r="I13" t="s">
        <v>258</v>
      </c>
      <c r="J13" t="s">
        <v>241</v>
      </c>
      <c r="K13" t="s">
        <v>235</v>
      </c>
      <c r="L13" t="s">
        <v>259</v>
      </c>
    </row>
    <row r="14" spans="1:21">
      <c r="A14">
        <v>1987</v>
      </c>
      <c r="B14" t="s">
        <v>215</v>
      </c>
      <c r="C14" t="str">
        <f>_xlfn.XLOOKUP(B14,product!$A$2:$A$20,product!$B$2:$B$20)</f>
        <v>Speakers</v>
      </c>
      <c r="D14" t="str">
        <f>_xlfn.XLOOKUP(C14,product!$B$2:$B$20,product!$C$2:$C$20)</f>
        <v>Audio</v>
      </c>
      <c r="E14">
        <v>279</v>
      </c>
      <c r="F14">
        <v>5300</v>
      </c>
      <c r="G14">
        <v>1478700</v>
      </c>
      <c r="H14" s="12">
        <v>44574</v>
      </c>
      <c r="I14" t="s">
        <v>260</v>
      </c>
      <c r="J14" t="s">
        <v>234</v>
      </c>
      <c r="K14" t="s">
        <v>248</v>
      </c>
      <c r="L14" t="s">
        <v>261</v>
      </c>
    </row>
    <row r="15" spans="1:21">
      <c r="A15">
        <v>1502</v>
      </c>
      <c r="B15" t="s">
        <v>213</v>
      </c>
      <c r="C15" t="str">
        <f>_xlfn.XLOOKUP(B15,product!$A$2:$A$20,product!$B$2:$B$20)</f>
        <v>Scanner</v>
      </c>
      <c r="D15" t="str">
        <f>_xlfn.XLOOKUP(C15,product!$B$2:$B$20,product!$C$2:$C$20)</f>
        <v>Peripherals</v>
      </c>
      <c r="E15">
        <v>286</v>
      </c>
      <c r="F15">
        <v>7600</v>
      </c>
      <c r="G15">
        <v>2173600</v>
      </c>
      <c r="H15" s="12">
        <v>44575</v>
      </c>
      <c r="I15" t="s">
        <v>233</v>
      </c>
      <c r="J15" t="s">
        <v>238</v>
      </c>
      <c r="K15" t="s">
        <v>235</v>
      </c>
      <c r="L15" t="s">
        <v>262</v>
      </c>
      <c r="U15" s="12"/>
    </row>
    <row r="16" spans="1:21">
      <c r="A16">
        <v>1821</v>
      </c>
      <c r="B16" t="s">
        <v>215</v>
      </c>
      <c r="C16" t="str">
        <f>_xlfn.XLOOKUP(B16,product!$A$2:$A$20,product!$B$2:$B$20)</f>
        <v>Speakers</v>
      </c>
      <c r="D16" t="str">
        <f>_xlfn.XLOOKUP(C16,product!$B$2:$B$20,product!$C$2:$C$20)</f>
        <v>Audio</v>
      </c>
      <c r="E16">
        <v>144</v>
      </c>
      <c r="F16">
        <v>5300</v>
      </c>
      <c r="G16">
        <v>763200</v>
      </c>
      <c r="H16" s="12">
        <v>44576</v>
      </c>
      <c r="I16" t="s">
        <v>237</v>
      </c>
      <c r="J16" t="s">
        <v>238</v>
      </c>
      <c r="K16" t="s">
        <v>248</v>
      </c>
      <c r="L16" t="s">
        <v>263</v>
      </c>
      <c r="U16" s="12"/>
    </row>
    <row r="17" spans="1:21">
      <c r="A17">
        <v>1956</v>
      </c>
      <c r="B17" t="s">
        <v>191</v>
      </c>
      <c r="C17" t="str">
        <f>_xlfn.XLOOKUP(B17,product!$A$2:$A$20,product!$B$2:$B$20)</f>
        <v>Graphics Card</v>
      </c>
      <c r="D17" t="str">
        <f>_xlfn.XLOOKUP(C17,product!$B$2:$B$20,product!$C$2:$C$20)</f>
        <v>Internal Hardware</v>
      </c>
      <c r="E17">
        <v>180</v>
      </c>
      <c r="F17">
        <v>12000</v>
      </c>
      <c r="G17">
        <v>2160000</v>
      </c>
      <c r="H17" s="12">
        <v>44577</v>
      </c>
      <c r="I17" t="s">
        <v>90</v>
      </c>
      <c r="J17" t="s">
        <v>234</v>
      </c>
      <c r="K17" t="s">
        <v>235</v>
      </c>
      <c r="L17" t="s">
        <v>236</v>
      </c>
      <c r="U17" s="12"/>
    </row>
    <row r="18" spans="1:21">
      <c r="A18">
        <v>1729</v>
      </c>
      <c r="B18" t="s">
        <v>211</v>
      </c>
      <c r="C18" t="str">
        <f>_xlfn.XLOOKUP(B18,product!$A$2:$A$20,product!$B$2:$B$20)</f>
        <v>Printer</v>
      </c>
      <c r="D18" t="str">
        <f>_xlfn.XLOOKUP(C18,product!$B$2:$B$20,product!$C$2:$C$20)</f>
        <v>Peripherals</v>
      </c>
      <c r="E18">
        <v>290</v>
      </c>
      <c r="F18">
        <v>11500</v>
      </c>
      <c r="G18">
        <v>3335000</v>
      </c>
      <c r="H18" s="12">
        <v>44578</v>
      </c>
      <c r="I18" t="s">
        <v>243</v>
      </c>
      <c r="J18" t="s">
        <v>238</v>
      </c>
      <c r="K18" t="s">
        <v>248</v>
      </c>
      <c r="L18" t="s">
        <v>240</v>
      </c>
      <c r="U18" s="12"/>
    </row>
    <row r="19" spans="1:21">
      <c r="A19">
        <v>1288</v>
      </c>
      <c r="B19" t="s">
        <v>220</v>
      </c>
      <c r="C19" t="str">
        <f>_xlfn.XLOOKUP(B19,product!$A$2:$A$20,product!$B$2:$B$20)</f>
        <v>Ethernet Cable</v>
      </c>
      <c r="D19" t="str">
        <f>_xlfn.XLOOKUP(C19,product!$B$2:$B$20,product!$C$2:$C$20)</f>
        <v>Cables &amp; Connectors</v>
      </c>
      <c r="E19">
        <v>145</v>
      </c>
      <c r="F19">
        <v>600</v>
      </c>
      <c r="G19">
        <v>87000</v>
      </c>
      <c r="H19" s="12">
        <v>44579</v>
      </c>
      <c r="I19" t="s">
        <v>245</v>
      </c>
      <c r="J19" t="s">
        <v>234</v>
      </c>
      <c r="K19" t="s">
        <v>248</v>
      </c>
      <c r="L19" t="s">
        <v>242</v>
      </c>
      <c r="U19" s="12"/>
    </row>
    <row r="20" spans="1:21">
      <c r="A20">
        <v>1309</v>
      </c>
      <c r="B20" t="s">
        <v>220</v>
      </c>
      <c r="C20" t="str">
        <f>_xlfn.XLOOKUP(B20,product!$A$2:$A$20,product!$B$2:$B$20)</f>
        <v>Ethernet Cable</v>
      </c>
      <c r="D20" t="str">
        <f>_xlfn.XLOOKUP(C20,product!$B$2:$B$20,product!$C$2:$C$20)</f>
        <v>Cables &amp; Connectors</v>
      </c>
      <c r="E20">
        <v>149</v>
      </c>
      <c r="F20">
        <v>600</v>
      </c>
      <c r="G20">
        <v>89400</v>
      </c>
      <c r="H20" s="12">
        <v>44580</v>
      </c>
      <c r="I20" t="s">
        <v>247</v>
      </c>
      <c r="J20" t="s">
        <v>238</v>
      </c>
      <c r="K20" t="s">
        <v>248</v>
      </c>
      <c r="L20" t="s">
        <v>244</v>
      </c>
      <c r="U20" s="12"/>
    </row>
    <row r="21" spans="1:21">
      <c r="A21">
        <v>1002</v>
      </c>
      <c r="B21" t="s">
        <v>215</v>
      </c>
      <c r="C21" t="str">
        <f>_xlfn.XLOOKUP(B21,product!$A$2:$A$20,product!$B$2:$B$20)</f>
        <v>Speakers</v>
      </c>
      <c r="D21" t="str">
        <f>_xlfn.XLOOKUP(C21,product!$B$2:$B$20,product!$C$2:$C$20)</f>
        <v>Audio</v>
      </c>
      <c r="E21">
        <v>206</v>
      </c>
      <c r="F21">
        <v>5300</v>
      </c>
      <c r="G21">
        <v>1091800</v>
      </c>
      <c r="H21" s="12">
        <v>44581</v>
      </c>
      <c r="I21" t="s">
        <v>250</v>
      </c>
      <c r="J21" t="s">
        <v>238</v>
      </c>
      <c r="K21" t="s">
        <v>235</v>
      </c>
      <c r="L21" t="s">
        <v>246</v>
      </c>
      <c r="U21" s="12"/>
    </row>
    <row r="22" spans="1:21">
      <c r="A22">
        <v>1394</v>
      </c>
      <c r="B22" t="s">
        <v>222</v>
      </c>
      <c r="C22" t="str">
        <f>_xlfn.XLOOKUP(B22,product!$A$2:$A$20,product!$B$2:$B$20)</f>
        <v>Laptop Bag</v>
      </c>
      <c r="D22" t="str">
        <f>_xlfn.XLOOKUP(C22,product!$B$2:$B$20,product!$C$2:$C$20)</f>
        <v>Laptop Accessories</v>
      </c>
      <c r="E22">
        <v>110</v>
      </c>
      <c r="F22">
        <v>300</v>
      </c>
      <c r="G22">
        <v>33000</v>
      </c>
      <c r="H22" s="12">
        <v>44582</v>
      </c>
      <c r="I22" t="s">
        <v>64</v>
      </c>
      <c r="J22" t="s">
        <v>238</v>
      </c>
      <c r="K22" t="s">
        <v>248</v>
      </c>
      <c r="L22" t="s">
        <v>249</v>
      </c>
      <c r="U22" s="12"/>
    </row>
    <row r="23" spans="1:21">
      <c r="A23">
        <v>1049</v>
      </c>
      <c r="B23" t="s">
        <v>206</v>
      </c>
      <c r="C23" t="str">
        <f>_xlfn.XLOOKUP(B23,product!$A$2:$A$20,product!$B$2:$B$20)</f>
        <v>Cooling Pad</v>
      </c>
      <c r="D23" t="str">
        <f>_xlfn.XLOOKUP(C23,product!$B$2:$B$20,product!$C$2:$C$20)</f>
        <v>Laptop Accessories</v>
      </c>
      <c r="E23">
        <v>254</v>
      </c>
      <c r="F23">
        <v>650</v>
      </c>
      <c r="G23">
        <v>165100</v>
      </c>
      <c r="H23" s="12">
        <v>44583</v>
      </c>
      <c r="I23" t="s">
        <v>254</v>
      </c>
      <c r="J23" t="s">
        <v>241</v>
      </c>
      <c r="K23" t="s">
        <v>239</v>
      </c>
      <c r="L23" t="s">
        <v>251</v>
      </c>
      <c r="U23" s="12"/>
    </row>
    <row r="24" spans="1:21">
      <c r="A24">
        <v>1005</v>
      </c>
      <c r="B24" t="s">
        <v>201</v>
      </c>
      <c r="C24" t="str">
        <f>_xlfn.XLOOKUP(B24,product!$A$2:$A$20,product!$B$2:$B$20)</f>
        <v>Webcam</v>
      </c>
      <c r="D24" t="str">
        <f>_xlfn.XLOOKUP(C24,product!$B$2:$B$20,product!$C$2:$C$20)</f>
        <v>Peripherals</v>
      </c>
      <c r="E24">
        <v>203</v>
      </c>
      <c r="F24">
        <v>3500</v>
      </c>
      <c r="G24">
        <v>710500</v>
      </c>
      <c r="H24" s="12">
        <v>44584</v>
      </c>
      <c r="I24" t="s">
        <v>256</v>
      </c>
      <c r="J24" t="s">
        <v>234</v>
      </c>
      <c r="K24" t="s">
        <v>239</v>
      </c>
      <c r="L24" t="s">
        <v>252</v>
      </c>
      <c r="U24" s="12"/>
    </row>
    <row r="25" spans="1:21">
      <c r="A25">
        <v>1831</v>
      </c>
      <c r="B25" t="s">
        <v>215</v>
      </c>
      <c r="C25" t="str">
        <f>_xlfn.XLOOKUP(B25,product!$A$2:$A$20,product!$B$2:$B$20)</f>
        <v>Speakers</v>
      </c>
      <c r="D25" t="str">
        <f>_xlfn.XLOOKUP(C25,product!$B$2:$B$20,product!$C$2:$C$20)</f>
        <v>Audio</v>
      </c>
      <c r="E25">
        <v>183</v>
      </c>
      <c r="F25">
        <v>5300</v>
      </c>
      <c r="G25">
        <v>969900</v>
      </c>
      <c r="H25" s="12">
        <v>44585</v>
      </c>
      <c r="I25" t="s">
        <v>258</v>
      </c>
      <c r="J25" t="s">
        <v>241</v>
      </c>
      <c r="K25" t="s">
        <v>239</v>
      </c>
      <c r="L25" t="s">
        <v>253</v>
      </c>
      <c r="U25" s="12"/>
    </row>
    <row r="26" spans="1:21">
      <c r="A26">
        <v>1530</v>
      </c>
      <c r="B26" t="s">
        <v>208</v>
      </c>
      <c r="C26" t="str">
        <f>_xlfn.XLOOKUP(B26,product!$A$2:$A$20,product!$B$2:$B$20)</f>
        <v>Headset</v>
      </c>
      <c r="D26" t="str">
        <f>_xlfn.XLOOKUP(C26,product!$B$2:$B$20,product!$C$2:$C$20)</f>
        <v>Audio</v>
      </c>
      <c r="E26">
        <v>184</v>
      </c>
      <c r="F26">
        <v>1500</v>
      </c>
      <c r="G26">
        <v>276000</v>
      </c>
      <c r="H26" s="12">
        <v>44586</v>
      </c>
      <c r="I26" t="s">
        <v>260</v>
      </c>
      <c r="J26" t="s">
        <v>234</v>
      </c>
      <c r="K26" t="s">
        <v>235</v>
      </c>
      <c r="L26" t="s">
        <v>255</v>
      </c>
      <c r="U26" s="12"/>
    </row>
    <row r="27" spans="1:21">
      <c r="A27">
        <v>1123</v>
      </c>
      <c r="B27" t="s">
        <v>194</v>
      </c>
      <c r="C27" t="str">
        <f>_xlfn.XLOOKUP(B27,product!$A$2:$A$20,product!$B$2:$B$20)</f>
        <v>RAM Module</v>
      </c>
      <c r="D27" t="str">
        <f>_xlfn.XLOOKUP(C27,product!$B$2:$B$20,product!$C$2:$C$20)</f>
        <v>Internal Hardware</v>
      </c>
      <c r="E27">
        <v>280</v>
      </c>
      <c r="F27">
        <v>7500</v>
      </c>
      <c r="G27">
        <v>2100000</v>
      </c>
      <c r="H27" s="12">
        <v>44587</v>
      </c>
      <c r="I27" t="s">
        <v>233</v>
      </c>
      <c r="J27" t="s">
        <v>234</v>
      </c>
      <c r="K27" t="s">
        <v>235</v>
      </c>
      <c r="L27" t="s">
        <v>257</v>
      </c>
      <c r="U27" s="12"/>
    </row>
    <row r="28" spans="1:21">
      <c r="A28">
        <v>1227</v>
      </c>
      <c r="B28" t="s">
        <v>196</v>
      </c>
      <c r="C28" t="str">
        <f>_xlfn.XLOOKUP(B28,product!$A$2:$A$20,product!$B$2:$B$20)</f>
        <v>SSD</v>
      </c>
      <c r="D28" t="str">
        <f>_xlfn.XLOOKUP(C28,product!$B$2:$B$20,product!$C$2:$C$20)</f>
        <v>Internal Hardware</v>
      </c>
      <c r="E28">
        <v>210</v>
      </c>
      <c r="F28">
        <v>9500</v>
      </c>
      <c r="G28">
        <v>1995000</v>
      </c>
      <c r="H28" s="12">
        <v>44588</v>
      </c>
      <c r="I28" t="s">
        <v>237</v>
      </c>
      <c r="J28" t="s">
        <v>234</v>
      </c>
      <c r="K28" t="s">
        <v>248</v>
      </c>
      <c r="L28" t="s">
        <v>259</v>
      </c>
      <c r="U28" s="12"/>
    </row>
    <row r="29" spans="1:21">
      <c r="A29">
        <v>1627</v>
      </c>
      <c r="B29" t="s">
        <v>220</v>
      </c>
      <c r="C29" t="str">
        <f>_xlfn.XLOOKUP(B29,product!$A$2:$A$20,product!$B$2:$B$20)</f>
        <v>Ethernet Cable</v>
      </c>
      <c r="D29" t="str">
        <f>_xlfn.XLOOKUP(C29,product!$B$2:$B$20,product!$C$2:$C$20)</f>
        <v>Cables &amp; Connectors</v>
      </c>
      <c r="E29">
        <v>289</v>
      </c>
      <c r="F29">
        <v>600</v>
      </c>
      <c r="G29">
        <v>173400</v>
      </c>
      <c r="H29" s="12">
        <v>44589</v>
      </c>
      <c r="I29" t="s">
        <v>90</v>
      </c>
      <c r="J29" t="s">
        <v>241</v>
      </c>
      <c r="K29" t="s">
        <v>235</v>
      </c>
      <c r="L29" t="s">
        <v>261</v>
      </c>
      <c r="U29" s="12"/>
    </row>
    <row r="30" spans="1:21">
      <c r="A30">
        <v>1112</v>
      </c>
      <c r="B30" t="s">
        <v>208</v>
      </c>
      <c r="C30" t="str">
        <f>_xlfn.XLOOKUP(B30,product!$A$2:$A$20,product!$B$2:$B$20)</f>
        <v>Headset</v>
      </c>
      <c r="D30" t="str">
        <f>_xlfn.XLOOKUP(C30,product!$B$2:$B$20,product!$C$2:$C$20)</f>
        <v>Audio</v>
      </c>
      <c r="E30">
        <v>260</v>
      </c>
      <c r="F30">
        <v>1500</v>
      </c>
      <c r="G30">
        <v>390000</v>
      </c>
      <c r="H30" s="12">
        <v>44590</v>
      </c>
      <c r="I30" t="s">
        <v>243</v>
      </c>
      <c r="J30" t="s">
        <v>234</v>
      </c>
      <c r="K30" t="s">
        <v>239</v>
      </c>
      <c r="L30" t="s">
        <v>262</v>
      </c>
      <c r="U30" s="12"/>
    </row>
    <row r="31" spans="1:21">
      <c r="A31">
        <v>1966</v>
      </c>
      <c r="B31" t="s">
        <v>211</v>
      </c>
      <c r="C31" t="str">
        <f>_xlfn.XLOOKUP(B31,product!$A$2:$A$20,product!$B$2:$B$20)</f>
        <v>Printer</v>
      </c>
      <c r="D31" t="str">
        <f>_xlfn.XLOOKUP(C31,product!$B$2:$B$20,product!$C$2:$C$20)</f>
        <v>Peripherals</v>
      </c>
      <c r="E31">
        <v>186</v>
      </c>
      <c r="F31">
        <v>11500</v>
      </c>
      <c r="G31">
        <v>2139000</v>
      </c>
      <c r="H31" s="12">
        <v>44591</v>
      </c>
      <c r="I31" t="s">
        <v>245</v>
      </c>
      <c r="J31" t="s">
        <v>238</v>
      </c>
      <c r="K31" t="s">
        <v>235</v>
      </c>
      <c r="L31" t="s">
        <v>263</v>
      </c>
      <c r="U31" s="12"/>
    </row>
    <row r="32" spans="1:21">
      <c r="A32">
        <v>1600</v>
      </c>
      <c r="B32" t="s">
        <v>220</v>
      </c>
      <c r="C32" t="str">
        <f>_xlfn.XLOOKUP(B32,product!$A$2:$A$20,product!$B$2:$B$20)</f>
        <v>Ethernet Cable</v>
      </c>
      <c r="D32" t="str">
        <f>_xlfn.XLOOKUP(C32,product!$B$2:$B$20,product!$C$2:$C$20)</f>
        <v>Cables &amp; Connectors</v>
      </c>
      <c r="E32">
        <v>187</v>
      </c>
      <c r="F32">
        <v>600</v>
      </c>
      <c r="G32">
        <v>112200</v>
      </c>
      <c r="H32" s="12">
        <v>44592</v>
      </c>
      <c r="I32" t="s">
        <v>247</v>
      </c>
      <c r="J32" t="s">
        <v>241</v>
      </c>
      <c r="K32" t="s">
        <v>248</v>
      </c>
      <c r="L32" t="s">
        <v>236</v>
      </c>
      <c r="U32" s="12"/>
    </row>
    <row r="33" spans="1:21">
      <c r="A33">
        <v>1919</v>
      </c>
      <c r="B33" t="s">
        <v>198</v>
      </c>
      <c r="C33" t="str">
        <f>_xlfn.XLOOKUP(B33,product!$A$2:$A$20,product!$B$2:$B$20)</f>
        <v>HDMI Cable</v>
      </c>
      <c r="D33" t="str">
        <f>_xlfn.XLOOKUP(C33,product!$B$2:$B$20,product!$C$2:$C$20)</f>
        <v>Cables &amp; Connectors</v>
      </c>
      <c r="E33">
        <v>149</v>
      </c>
      <c r="F33">
        <v>250</v>
      </c>
      <c r="G33">
        <v>37250</v>
      </c>
      <c r="H33" s="12">
        <v>44593</v>
      </c>
      <c r="I33" t="s">
        <v>250</v>
      </c>
      <c r="J33" t="s">
        <v>241</v>
      </c>
      <c r="K33" t="s">
        <v>239</v>
      </c>
      <c r="L33" t="s">
        <v>240</v>
      </c>
      <c r="U33" s="12"/>
    </row>
    <row r="34" spans="1:21">
      <c r="A34">
        <v>1170</v>
      </c>
      <c r="B34" t="s">
        <v>184</v>
      </c>
      <c r="C34" t="str">
        <f>_xlfn.XLOOKUP(B34,product!$A$2:$A$20,product!$B$2:$B$20)</f>
        <v>Hard Drive</v>
      </c>
      <c r="D34" t="str">
        <f>_xlfn.XLOOKUP(C34,product!$B$2:$B$20,product!$C$2:$C$20)</f>
        <v>Storage</v>
      </c>
      <c r="E34">
        <v>253</v>
      </c>
      <c r="F34">
        <v>8000</v>
      </c>
      <c r="G34">
        <v>2024000</v>
      </c>
      <c r="H34" s="12">
        <v>44594</v>
      </c>
      <c r="I34" t="s">
        <v>64</v>
      </c>
      <c r="J34" t="s">
        <v>238</v>
      </c>
      <c r="K34" t="s">
        <v>248</v>
      </c>
      <c r="L34" t="s">
        <v>242</v>
      </c>
    </row>
    <row r="35" spans="1:21">
      <c r="A35">
        <v>1366</v>
      </c>
      <c r="B35" t="s">
        <v>189</v>
      </c>
      <c r="C35" t="str">
        <f>_xlfn.XLOOKUP(B35,product!$A$2:$A$20,product!$B$2:$B$20)</f>
        <v>Monitor</v>
      </c>
      <c r="D35" t="str">
        <f>_xlfn.XLOOKUP(C35,product!$B$2:$B$20,product!$C$2:$C$20)</f>
        <v>Display</v>
      </c>
      <c r="E35">
        <v>222</v>
      </c>
      <c r="F35">
        <v>15000</v>
      </c>
      <c r="G35">
        <v>3330000</v>
      </c>
      <c r="H35" s="12">
        <v>44595</v>
      </c>
      <c r="I35" t="s">
        <v>245</v>
      </c>
      <c r="J35" t="s">
        <v>234</v>
      </c>
      <c r="K35" t="s">
        <v>239</v>
      </c>
      <c r="L35" t="s">
        <v>244</v>
      </c>
    </row>
    <row r="36" spans="1:21">
      <c r="A36">
        <v>1307</v>
      </c>
      <c r="B36" t="s">
        <v>194</v>
      </c>
      <c r="C36" t="str">
        <f>_xlfn.XLOOKUP(B36,product!$A$2:$A$20,product!$B$2:$B$20)</f>
        <v>RAM Module</v>
      </c>
      <c r="D36" t="str">
        <f>_xlfn.XLOOKUP(C36,product!$B$2:$B$20,product!$C$2:$C$20)</f>
        <v>Internal Hardware</v>
      </c>
      <c r="E36">
        <v>242</v>
      </c>
      <c r="F36">
        <v>7500</v>
      </c>
      <c r="G36">
        <v>1815000</v>
      </c>
      <c r="H36" s="12">
        <v>44596</v>
      </c>
      <c r="I36" t="s">
        <v>247</v>
      </c>
      <c r="J36" t="s">
        <v>241</v>
      </c>
      <c r="K36" t="s">
        <v>239</v>
      </c>
      <c r="L36" t="s">
        <v>246</v>
      </c>
    </row>
    <row r="37" spans="1:21">
      <c r="A37">
        <v>1820</v>
      </c>
      <c r="B37" t="s">
        <v>211</v>
      </c>
      <c r="C37" t="str">
        <f>_xlfn.XLOOKUP(B37,product!$A$2:$A$20,product!$B$2:$B$20)</f>
        <v>Printer</v>
      </c>
      <c r="D37" t="str">
        <f>_xlfn.XLOOKUP(C37,product!$B$2:$B$20,product!$C$2:$C$20)</f>
        <v>Peripherals</v>
      </c>
      <c r="E37">
        <v>184</v>
      </c>
      <c r="F37">
        <v>11500</v>
      </c>
      <c r="G37">
        <v>2116000</v>
      </c>
      <c r="H37" s="12">
        <v>44597</v>
      </c>
      <c r="I37" t="s">
        <v>250</v>
      </c>
      <c r="J37" t="s">
        <v>241</v>
      </c>
      <c r="K37" t="s">
        <v>248</v>
      </c>
      <c r="L37" t="s">
        <v>249</v>
      </c>
    </row>
    <row r="38" spans="1:21">
      <c r="A38">
        <v>1835</v>
      </c>
      <c r="B38" t="s">
        <v>194</v>
      </c>
      <c r="C38" t="str">
        <f>_xlfn.XLOOKUP(B38,product!$A$2:$A$20,product!$B$2:$B$20)</f>
        <v>RAM Module</v>
      </c>
      <c r="D38" t="str">
        <f>_xlfn.XLOOKUP(C38,product!$B$2:$B$20,product!$C$2:$C$20)</f>
        <v>Internal Hardware</v>
      </c>
      <c r="E38">
        <v>276</v>
      </c>
      <c r="F38">
        <v>7500</v>
      </c>
      <c r="G38">
        <v>2070000</v>
      </c>
      <c r="H38" s="12">
        <v>44598</v>
      </c>
      <c r="I38" t="s">
        <v>64</v>
      </c>
      <c r="J38" t="s">
        <v>234</v>
      </c>
      <c r="K38" t="s">
        <v>248</v>
      </c>
      <c r="L38" t="s">
        <v>251</v>
      </c>
    </row>
    <row r="39" spans="1:21">
      <c r="A39">
        <v>1866</v>
      </c>
      <c r="B39" t="s">
        <v>206</v>
      </c>
      <c r="C39" t="str">
        <f>_xlfn.XLOOKUP(B39,product!$A$2:$A$20,product!$B$2:$B$20)</f>
        <v>Cooling Pad</v>
      </c>
      <c r="D39" t="str">
        <f>_xlfn.XLOOKUP(C39,product!$B$2:$B$20,product!$C$2:$C$20)</f>
        <v>Laptop Accessories</v>
      </c>
      <c r="E39">
        <v>225</v>
      </c>
      <c r="F39">
        <v>650</v>
      </c>
      <c r="G39">
        <v>146250</v>
      </c>
      <c r="H39" s="12">
        <v>44599</v>
      </c>
      <c r="I39" t="s">
        <v>59</v>
      </c>
      <c r="J39" t="s">
        <v>234</v>
      </c>
      <c r="K39" t="s">
        <v>235</v>
      </c>
      <c r="L39" t="s">
        <v>252</v>
      </c>
    </row>
    <row r="40" spans="1:21">
      <c r="A40">
        <v>1900</v>
      </c>
      <c r="B40" t="s">
        <v>187</v>
      </c>
      <c r="C40" t="str">
        <f>_xlfn.XLOOKUP(B40,product!$A$2:$A$20,product!$B$2:$B$20)</f>
        <v>USB Flash Drive</v>
      </c>
      <c r="D40" t="str">
        <f>_xlfn.XLOOKUP(C40,product!$B$2:$B$20,product!$C$2:$C$20)</f>
        <v>Storage</v>
      </c>
      <c r="E40">
        <v>255</v>
      </c>
      <c r="F40">
        <v>600</v>
      </c>
      <c r="G40">
        <v>153000</v>
      </c>
      <c r="H40" s="12">
        <v>44600</v>
      </c>
      <c r="I40" t="s">
        <v>254</v>
      </c>
      <c r="J40" t="s">
        <v>234</v>
      </c>
      <c r="K40" t="s">
        <v>248</v>
      </c>
      <c r="L40" t="s">
        <v>253</v>
      </c>
    </row>
    <row r="41" spans="1:21">
      <c r="A41">
        <v>1968</v>
      </c>
      <c r="B41" t="s">
        <v>213</v>
      </c>
      <c r="C41" t="str">
        <f>_xlfn.XLOOKUP(B41,product!$A$2:$A$20,product!$B$2:$B$20)</f>
        <v>Scanner</v>
      </c>
      <c r="D41" t="str">
        <f>_xlfn.XLOOKUP(C41,product!$B$2:$B$20,product!$C$2:$C$20)</f>
        <v>Peripherals</v>
      </c>
      <c r="E41">
        <v>298</v>
      </c>
      <c r="F41">
        <v>7600</v>
      </c>
      <c r="G41">
        <v>2264800</v>
      </c>
      <c r="H41" s="12">
        <v>44601</v>
      </c>
      <c r="I41" t="s">
        <v>256</v>
      </c>
      <c r="J41" t="s">
        <v>241</v>
      </c>
      <c r="K41" t="s">
        <v>235</v>
      </c>
      <c r="L41" t="s">
        <v>255</v>
      </c>
    </row>
    <row r="42" spans="1:21">
      <c r="A42">
        <v>1302</v>
      </c>
      <c r="B42" t="s">
        <v>220</v>
      </c>
      <c r="C42" t="str">
        <f>_xlfn.XLOOKUP(B42,product!$A$2:$A$20,product!$B$2:$B$20)</f>
        <v>Ethernet Cable</v>
      </c>
      <c r="D42" t="str">
        <f>_xlfn.XLOOKUP(C42,product!$B$2:$B$20,product!$C$2:$C$20)</f>
        <v>Cables &amp; Connectors</v>
      </c>
      <c r="E42">
        <v>212</v>
      </c>
      <c r="F42">
        <v>600</v>
      </c>
      <c r="G42">
        <v>127200</v>
      </c>
      <c r="H42" s="12">
        <v>44602</v>
      </c>
      <c r="I42" t="s">
        <v>258</v>
      </c>
      <c r="J42" t="s">
        <v>234</v>
      </c>
      <c r="K42" t="s">
        <v>239</v>
      </c>
      <c r="L42" t="s">
        <v>257</v>
      </c>
    </row>
    <row r="43" spans="1:21">
      <c r="A43">
        <v>1246</v>
      </c>
      <c r="B43" t="s">
        <v>201</v>
      </c>
      <c r="C43" t="str">
        <f>_xlfn.XLOOKUP(B43,product!$A$2:$A$20,product!$B$2:$B$20)</f>
        <v>Webcam</v>
      </c>
      <c r="D43" t="str">
        <f>_xlfn.XLOOKUP(C43,product!$B$2:$B$20,product!$C$2:$C$20)</f>
        <v>Peripherals</v>
      </c>
      <c r="E43">
        <v>107</v>
      </c>
      <c r="F43">
        <v>3500</v>
      </c>
      <c r="G43">
        <v>374500</v>
      </c>
      <c r="H43" s="12">
        <v>44603</v>
      </c>
      <c r="I43" t="s">
        <v>260</v>
      </c>
      <c r="J43" t="s">
        <v>241</v>
      </c>
      <c r="K43" t="s">
        <v>248</v>
      </c>
      <c r="L43" t="s">
        <v>259</v>
      </c>
    </row>
    <row r="44" spans="1:21">
      <c r="A44">
        <v>1788</v>
      </c>
      <c r="B44" t="s">
        <v>187</v>
      </c>
      <c r="C44" t="str">
        <f>_xlfn.XLOOKUP(B44,product!$A$2:$A$20,product!$B$2:$B$20)</f>
        <v>USB Flash Drive</v>
      </c>
      <c r="D44" t="str">
        <f>_xlfn.XLOOKUP(C44,product!$B$2:$B$20,product!$C$2:$C$20)</f>
        <v>Storage</v>
      </c>
      <c r="E44">
        <v>162</v>
      </c>
      <c r="F44">
        <v>600</v>
      </c>
      <c r="G44">
        <v>97200</v>
      </c>
      <c r="H44" s="12">
        <v>44604</v>
      </c>
      <c r="I44" t="s">
        <v>233</v>
      </c>
      <c r="J44" t="s">
        <v>238</v>
      </c>
      <c r="K44" t="s">
        <v>248</v>
      </c>
      <c r="L44" t="s">
        <v>261</v>
      </c>
    </row>
    <row r="45" spans="1:21">
      <c r="A45">
        <v>1999</v>
      </c>
      <c r="B45" t="s">
        <v>203</v>
      </c>
      <c r="C45" t="str">
        <f>_xlfn.XLOOKUP(B45,product!$A$2:$A$20,product!$B$2:$B$20)</f>
        <v>Laptop Stand</v>
      </c>
      <c r="D45" t="str">
        <f>_xlfn.XLOOKUP(C45,product!$B$2:$B$20,product!$C$2:$C$20)</f>
        <v>Laptop Accessories</v>
      </c>
      <c r="E45">
        <v>234</v>
      </c>
      <c r="F45">
        <v>500</v>
      </c>
      <c r="G45">
        <v>117000</v>
      </c>
      <c r="H45" s="12">
        <v>44605</v>
      </c>
      <c r="I45" t="s">
        <v>237</v>
      </c>
      <c r="J45" t="s">
        <v>234</v>
      </c>
      <c r="K45" t="s">
        <v>239</v>
      </c>
      <c r="L45" t="s">
        <v>262</v>
      </c>
    </row>
    <row r="46" spans="1:21">
      <c r="A46">
        <v>1889</v>
      </c>
      <c r="B46" t="s">
        <v>189</v>
      </c>
      <c r="C46" t="str">
        <f>_xlfn.XLOOKUP(B46,product!$A$2:$A$20,product!$B$2:$B$20)</f>
        <v>Monitor</v>
      </c>
      <c r="D46" t="str">
        <f>_xlfn.XLOOKUP(C46,product!$B$2:$B$20,product!$C$2:$C$20)</f>
        <v>Display</v>
      </c>
      <c r="E46">
        <v>166</v>
      </c>
      <c r="F46">
        <v>15000</v>
      </c>
      <c r="G46">
        <v>2490000</v>
      </c>
      <c r="H46" s="12">
        <v>44606</v>
      </c>
      <c r="I46" t="s">
        <v>90</v>
      </c>
      <c r="J46" t="s">
        <v>238</v>
      </c>
      <c r="K46" t="s">
        <v>239</v>
      </c>
      <c r="L46" t="s">
        <v>263</v>
      </c>
    </row>
    <row r="47" spans="1:21">
      <c r="A47">
        <v>1525</v>
      </c>
      <c r="B47" t="s">
        <v>194</v>
      </c>
      <c r="C47" t="str">
        <f>_xlfn.XLOOKUP(B47,product!$A$2:$A$20,product!$B$2:$B$20)</f>
        <v>RAM Module</v>
      </c>
      <c r="D47" t="str">
        <f>_xlfn.XLOOKUP(C47,product!$B$2:$B$20,product!$C$2:$C$20)</f>
        <v>Internal Hardware</v>
      </c>
      <c r="E47">
        <v>277</v>
      </c>
      <c r="F47">
        <v>7500</v>
      </c>
      <c r="G47">
        <v>2077500</v>
      </c>
      <c r="H47" s="12">
        <v>44607</v>
      </c>
      <c r="I47" t="s">
        <v>243</v>
      </c>
      <c r="J47" t="s">
        <v>241</v>
      </c>
      <c r="K47" t="s">
        <v>248</v>
      </c>
      <c r="L47" t="s">
        <v>236</v>
      </c>
    </row>
    <row r="48" spans="1:21">
      <c r="A48">
        <v>1302</v>
      </c>
      <c r="B48" t="s">
        <v>220</v>
      </c>
      <c r="C48" t="str">
        <f>_xlfn.XLOOKUP(B48,product!$A$2:$A$20,product!$B$2:$B$20)</f>
        <v>Ethernet Cable</v>
      </c>
      <c r="D48" t="str">
        <f>_xlfn.XLOOKUP(C48,product!$B$2:$B$20,product!$C$2:$C$20)</f>
        <v>Cables &amp; Connectors</v>
      </c>
      <c r="E48">
        <v>147</v>
      </c>
      <c r="F48">
        <v>600</v>
      </c>
      <c r="G48">
        <v>88200</v>
      </c>
      <c r="H48" s="12">
        <v>44608</v>
      </c>
      <c r="I48" t="s">
        <v>245</v>
      </c>
      <c r="J48" t="s">
        <v>234</v>
      </c>
      <c r="K48" t="s">
        <v>248</v>
      </c>
      <c r="L48" t="s">
        <v>240</v>
      </c>
    </row>
    <row r="49" spans="1:12">
      <c r="A49">
        <v>1914</v>
      </c>
      <c r="B49" t="s">
        <v>217</v>
      </c>
      <c r="C49" t="str">
        <f>_xlfn.XLOOKUP(B49,product!$A$2:$A$20,product!$B$2:$B$20)</f>
        <v>Wireless Router</v>
      </c>
      <c r="D49" t="str">
        <f>_xlfn.XLOOKUP(C49,product!$B$2:$B$20,product!$C$2:$C$20)</f>
        <v>Network</v>
      </c>
      <c r="E49">
        <v>210</v>
      </c>
      <c r="F49">
        <v>1350</v>
      </c>
      <c r="G49">
        <v>283500</v>
      </c>
      <c r="H49" s="12">
        <v>44609</v>
      </c>
      <c r="I49" t="s">
        <v>247</v>
      </c>
      <c r="J49" t="s">
        <v>241</v>
      </c>
      <c r="K49" t="s">
        <v>239</v>
      </c>
      <c r="L49" t="s">
        <v>242</v>
      </c>
    </row>
    <row r="50" spans="1:12">
      <c r="A50">
        <v>1901</v>
      </c>
      <c r="B50" t="s">
        <v>217</v>
      </c>
      <c r="C50" t="str">
        <f>_xlfn.XLOOKUP(B50,product!$A$2:$A$20,product!$B$2:$B$20)</f>
        <v>Wireless Router</v>
      </c>
      <c r="D50" t="str">
        <f>_xlfn.XLOOKUP(C50,product!$B$2:$B$20,product!$C$2:$C$20)</f>
        <v>Network</v>
      </c>
      <c r="E50">
        <v>294</v>
      </c>
      <c r="F50">
        <v>1350</v>
      </c>
      <c r="G50">
        <v>396900</v>
      </c>
      <c r="H50" s="12">
        <v>44610</v>
      </c>
      <c r="I50" t="s">
        <v>250</v>
      </c>
      <c r="J50" t="s">
        <v>241</v>
      </c>
      <c r="K50" t="s">
        <v>235</v>
      </c>
      <c r="L50" t="s">
        <v>244</v>
      </c>
    </row>
    <row r="51" spans="1:12">
      <c r="A51">
        <v>1333</v>
      </c>
      <c r="B51" t="s">
        <v>208</v>
      </c>
      <c r="C51" t="str">
        <f>_xlfn.XLOOKUP(B51,product!$A$2:$A$20,product!$B$2:$B$20)</f>
        <v>Headset</v>
      </c>
      <c r="D51" t="str">
        <f>_xlfn.XLOOKUP(C51,product!$B$2:$B$20,product!$C$2:$C$20)</f>
        <v>Audio</v>
      </c>
      <c r="E51">
        <v>240</v>
      </c>
      <c r="F51">
        <v>1500</v>
      </c>
      <c r="G51">
        <v>360000</v>
      </c>
      <c r="H51" s="12">
        <v>44611</v>
      </c>
      <c r="I51" t="s">
        <v>64</v>
      </c>
      <c r="J51" t="s">
        <v>238</v>
      </c>
      <c r="K51" t="s">
        <v>239</v>
      </c>
      <c r="L51" t="s">
        <v>246</v>
      </c>
    </row>
    <row r="52" spans="1:12">
      <c r="A52">
        <v>1104</v>
      </c>
      <c r="B52" t="s">
        <v>198</v>
      </c>
      <c r="C52" t="str">
        <f>_xlfn.XLOOKUP(B52,product!$A$2:$A$20,product!$B$2:$B$20)</f>
        <v>HDMI Cable</v>
      </c>
      <c r="D52" t="str">
        <f>_xlfn.XLOOKUP(C52,product!$B$2:$B$20,product!$C$2:$C$20)</f>
        <v>Cables &amp; Connectors</v>
      </c>
      <c r="E52">
        <v>170</v>
      </c>
      <c r="F52">
        <v>250</v>
      </c>
      <c r="G52">
        <v>42500</v>
      </c>
      <c r="H52" s="12">
        <v>44612</v>
      </c>
      <c r="I52" t="s">
        <v>254</v>
      </c>
      <c r="J52" t="s">
        <v>241</v>
      </c>
      <c r="K52" t="s">
        <v>239</v>
      </c>
      <c r="L52" t="s">
        <v>249</v>
      </c>
    </row>
    <row r="53" spans="1:12">
      <c r="A53">
        <v>1803</v>
      </c>
      <c r="B53" t="s">
        <v>217</v>
      </c>
      <c r="C53" t="str">
        <f>_xlfn.XLOOKUP(B53,product!$A$2:$A$20,product!$B$2:$B$20)</f>
        <v>Wireless Router</v>
      </c>
      <c r="D53" t="str">
        <f>_xlfn.XLOOKUP(C53,product!$B$2:$B$20,product!$C$2:$C$20)</f>
        <v>Network</v>
      </c>
      <c r="E53">
        <v>188</v>
      </c>
      <c r="F53">
        <v>1350</v>
      </c>
      <c r="G53">
        <v>253800</v>
      </c>
      <c r="H53" s="12">
        <v>44613</v>
      </c>
      <c r="I53" t="s">
        <v>256</v>
      </c>
      <c r="J53" t="s">
        <v>241</v>
      </c>
      <c r="K53" t="s">
        <v>239</v>
      </c>
      <c r="L53" t="s">
        <v>251</v>
      </c>
    </row>
    <row r="54" spans="1:12">
      <c r="A54">
        <v>1539</v>
      </c>
      <c r="B54" t="s">
        <v>203</v>
      </c>
      <c r="C54" t="str">
        <f>_xlfn.XLOOKUP(B54,product!$A$2:$A$20,product!$B$2:$B$20)</f>
        <v>Laptop Stand</v>
      </c>
      <c r="D54" t="str">
        <f>_xlfn.XLOOKUP(C54,product!$B$2:$B$20,product!$C$2:$C$20)</f>
        <v>Laptop Accessories</v>
      </c>
      <c r="E54">
        <v>279</v>
      </c>
      <c r="F54">
        <v>500</v>
      </c>
      <c r="G54">
        <v>139500</v>
      </c>
      <c r="H54" s="12">
        <v>44614</v>
      </c>
      <c r="I54" t="s">
        <v>258</v>
      </c>
      <c r="J54" t="s">
        <v>238</v>
      </c>
      <c r="K54" t="s">
        <v>248</v>
      </c>
      <c r="L54" t="s">
        <v>252</v>
      </c>
    </row>
    <row r="55" spans="1:12">
      <c r="A55">
        <v>1085</v>
      </c>
      <c r="B55" t="s">
        <v>208</v>
      </c>
      <c r="C55" t="str">
        <f>_xlfn.XLOOKUP(B55,product!$A$2:$A$20,product!$B$2:$B$20)</f>
        <v>Headset</v>
      </c>
      <c r="D55" t="str">
        <f>_xlfn.XLOOKUP(C55,product!$B$2:$B$20,product!$C$2:$C$20)</f>
        <v>Audio</v>
      </c>
      <c r="E55">
        <v>152</v>
      </c>
      <c r="F55">
        <v>1500</v>
      </c>
      <c r="G55">
        <v>228000</v>
      </c>
      <c r="H55" s="12">
        <v>44615</v>
      </c>
      <c r="I55" t="s">
        <v>260</v>
      </c>
      <c r="J55" t="s">
        <v>234</v>
      </c>
      <c r="K55" t="s">
        <v>239</v>
      </c>
      <c r="L55" t="s">
        <v>253</v>
      </c>
    </row>
    <row r="56" spans="1:12">
      <c r="A56">
        <v>1992</v>
      </c>
      <c r="B56" t="s">
        <v>198</v>
      </c>
      <c r="C56" t="str">
        <f>_xlfn.XLOOKUP(B56,product!$A$2:$A$20,product!$B$2:$B$20)</f>
        <v>HDMI Cable</v>
      </c>
      <c r="D56" t="str">
        <f>_xlfn.XLOOKUP(C56,product!$B$2:$B$20,product!$C$2:$C$20)</f>
        <v>Cables &amp; Connectors</v>
      </c>
      <c r="E56">
        <v>250</v>
      </c>
      <c r="F56">
        <v>250</v>
      </c>
      <c r="G56">
        <v>62500</v>
      </c>
      <c r="H56" s="12">
        <v>44616</v>
      </c>
      <c r="I56" t="s">
        <v>233</v>
      </c>
      <c r="J56" t="s">
        <v>238</v>
      </c>
      <c r="K56" t="s">
        <v>235</v>
      </c>
      <c r="L56" t="s">
        <v>255</v>
      </c>
    </row>
    <row r="57" spans="1:12">
      <c r="A57">
        <v>1009</v>
      </c>
      <c r="B57" t="s">
        <v>184</v>
      </c>
      <c r="C57" t="str">
        <f>_xlfn.XLOOKUP(B57,product!$A$2:$A$20,product!$B$2:$B$20)</f>
        <v>Hard Drive</v>
      </c>
      <c r="D57" t="str">
        <f>_xlfn.XLOOKUP(C57,product!$B$2:$B$20,product!$C$2:$C$20)</f>
        <v>Storage</v>
      </c>
      <c r="E57">
        <v>162</v>
      </c>
      <c r="F57">
        <v>8000</v>
      </c>
      <c r="G57">
        <v>1296000</v>
      </c>
      <c r="H57" s="12">
        <v>44617</v>
      </c>
      <c r="I57" t="s">
        <v>237</v>
      </c>
      <c r="J57" t="s">
        <v>234</v>
      </c>
      <c r="K57" t="s">
        <v>248</v>
      </c>
      <c r="L57" t="s">
        <v>257</v>
      </c>
    </row>
    <row r="58" spans="1:12">
      <c r="A58">
        <v>1509</v>
      </c>
      <c r="B58" t="s">
        <v>208</v>
      </c>
      <c r="C58" t="str">
        <f>_xlfn.XLOOKUP(B58,product!$A$2:$A$20,product!$B$2:$B$20)</f>
        <v>Headset</v>
      </c>
      <c r="D58" t="str">
        <f>_xlfn.XLOOKUP(C58,product!$B$2:$B$20,product!$C$2:$C$20)</f>
        <v>Audio</v>
      </c>
      <c r="E58">
        <v>177</v>
      </c>
      <c r="F58">
        <v>1500</v>
      </c>
      <c r="G58">
        <v>265500</v>
      </c>
      <c r="H58" s="12">
        <v>44618</v>
      </c>
      <c r="I58" t="s">
        <v>90</v>
      </c>
      <c r="J58" t="s">
        <v>234</v>
      </c>
      <c r="K58" t="s">
        <v>239</v>
      </c>
      <c r="L58" t="s">
        <v>259</v>
      </c>
    </row>
    <row r="59" spans="1:12">
      <c r="A59">
        <v>1162</v>
      </c>
      <c r="B59" t="s">
        <v>189</v>
      </c>
      <c r="C59" t="str">
        <f>_xlfn.XLOOKUP(B59,product!$A$2:$A$20,product!$B$2:$B$20)</f>
        <v>Monitor</v>
      </c>
      <c r="D59" t="str">
        <f>_xlfn.XLOOKUP(C59,product!$B$2:$B$20,product!$C$2:$C$20)</f>
        <v>Display</v>
      </c>
      <c r="E59">
        <v>297</v>
      </c>
      <c r="F59">
        <v>15000</v>
      </c>
      <c r="G59">
        <v>4455000</v>
      </c>
      <c r="H59" s="12">
        <v>44619</v>
      </c>
      <c r="I59" t="s">
        <v>243</v>
      </c>
      <c r="J59" t="s">
        <v>241</v>
      </c>
      <c r="K59" t="s">
        <v>239</v>
      </c>
      <c r="L59" t="s">
        <v>261</v>
      </c>
    </row>
    <row r="60" spans="1:12">
      <c r="A60">
        <v>1482</v>
      </c>
      <c r="B60" t="s">
        <v>191</v>
      </c>
      <c r="C60" t="str">
        <f>_xlfn.XLOOKUP(B60,product!$A$2:$A$20,product!$B$2:$B$20)</f>
        <v>Graphics Card</v>
      </c>
      <c r="D60" t="str">
        <f>_xlfn.XLOOKUP(C60,product!$B$2:$B$20,product!$C$2:$C$20)</f>
        <v>Internal Hardware</v>
      </c>
      <c r="E60">
        <v>217</v>
      </c>
      <c r="F60">
        <v>12000</v>
      </c>
      <c r="G60">
        <v>2604000</v>
      </c>
      <c r="H60" s="12">
        <v>44620</v>
      </c>
      <c r="I60" t="s">
        <v>245</v>
      </c>
      <c r="J60" t="s">
        <v>234</v>
      </c>
      <c r="K60" t="s">
        <v>248</v>
      </c>
      <c r="L60" t="s">
        <v>262</v>
      </c>
    </row>
    <row r="61" spans="1:12">
      <c r="A61">
        <v>1289</v>
      </c>
      <c r="B61" t="s">
        <v>211</v>
      </c>
      <c r="C61" t="str">
        <f>_xlfn.XLOOKUP(B61,product!$A$2:$A$20,product!$B$2:$B$20)</f>
        <v>Printer</v>
      </c>
      <c r="D61" t="str">
        <f>_xlfn.XLOOKUP(C61,product!$B$2:$B$20,product!$C$2:$C$20)</f>
        <v>Peripherals</v>
      </c>
      <c r="E61">
        <v>101</v>
      </c>
      <c r="F61">
        <v>11500</v>
      </c>
      <c r="G61">
        <v>1161500</v>
      </c>
      <c r="H61" s="12">
        <v>44621</v>
      </c>
      <c r="I61" t="s">
        <v>247</v>
      </c>
      <c r="J61" t="s">
        <v>238</v>
      </c>
      <c r="K61" t="s">
        <v>235</v>
      </c>
      <c r="L61" t="s">
        <v>263</v>
      </c>
    </row>
    <row r="62" spans="1:12">
      <c r="A62">
        <v>1602</v>
      </c>
      <c r="B62" t="s">
        <v>194</v>
      </c>
      <c r="C62" t="str">
        <f>_xlfn.XLOOKUP(B62,product!$A$2:$A$20,product!$B$2:$B$20)</f>
        <v>RAM Module</v>
      </c>
      <c r="D62" t="str">
        <f>_xlfn.XLOOKUP(C62,product!$B$2:$B$20,product!$C$2:$C$20)</f>
        <v>Internal Hardware</v>
      </c>
      <c r="E62">
        <v>227</v>
      </c>
      <c r="F62">
        <v>7500</v>
      </c>
      <c r="G62">
        <v>1702500</v>
      </c>
      <c r="H62" s="12">
        <v>44622</v>
      </c>
      <c r="I62" t="s">
        <v>250</v>
      </c>
      <c r="J62" t="s">
        <v>241</v>
      </c>
      <c r="K62" t="s">
        <v>248</v>
      </c>
      <c r="L62" t="s">
        <v>236</v>
      </c>
    </row>
    <row r="63" spans="1:12">
      <c r="A63">
        <v>1434</v>
      </c>
      <c r="B63" t="s">
        <v>194</v>
      </c>
      <c r="C63" t="str">
        <f>_xlfn.XLOOKUP(B63,product!$A$2:$A$20,product!$B$2:$B$20)</f>
        <v>RAM Module</v>
      </c>
      <c r="D63" t="str">
        <f>_xlfn.XLOOKUP(C63,product!$B$2:$B$20,product!$C$2:$C$20)</f>
        <v>Internal Hardware</v>
      </c>
      <c r="E63">
        <v>214</v>
      </c>
      <c r="F63">
        <v>7500</v>
      </c>
      <c r="G63">
        <v>1605000</v>
      </c>
      <c r="H63" s="12">
        <v>44623</v>
      </c>
      <c r="I63" t="s">
        <v>64</v>
      </c>
      <c r="J63" t="s">
        <v>238</v>
      </c>
      <c r="K63" t="s">
        <v>248</v>
      </c>
      <c r="L63" t="s">
        <v>240</v>
      </c>
    </row>
    <row r="64" spans="1:12">
      <c r="A64">
        <v>1338</v>
      </c>
      <c r="B64" t="s">
        <v>191</v>
      </c>
      <c r="C64" t="str">
        <f>_xlfn.XLOOKUP(B64,product!$A$2:$A$20,product!$B$2:$B$20)</f>
        <v>Graphics Card</v>
      </c>
      <c r="D64" t="str">
        <f>_xlfn.XLOOKUP(C64,product!$B$2:$B$20,product!$C$2:$C$20)</f>
        <v>Internal Hardware</v>
      </c>
      <c r="E64">
        <v>272</v>
      </c>
      <c r="F64">
        <v>12000</v>
      </c>
      <c r="G64">
        <v>3264000</v>
      </c>
      <c r="H64" s="12">
        <v>44624</v>
      </c>
      <c r="I64" t="s">
        <v>245</v>
      </c>
      <c r="J64" t="s">
        <v>238</v>
      </c>
      <c r="K64" t="s">
        <v>235</v>
      </c>
      <c r="L64" t="s">
        <v>242</v>
      </c>
    </row>
    <row r="65" spans="1:12">
      <c r="A65">
        <v>1696</v>
      </c>
      <c r="B65" t="s">
        <v>201</v>
      </c>
      <c r="C65" t="str">
        <f>_xlfn.XLOOKUP(B65,product!$A$2:$A$20,product!$B$2:$B$20)</f>
        <v>Webcam</v>
      </c>
      <c r="D65" t="str">
        <f>_xlfn.XLOOKUP(C65,product!$B$2:$B$20,product!$C$2:$C$20)</f>
        <v>Peripherals</v>
      </c>
      <c r="E65">
        <v>179</v>
      </c>
      <c r="F65">
        <v>3500</v>
      </c>
      <c r="G65">
        <v>626500</v>
      </c>
      <c r="H65" s="12">
        <v>44625</v>
      </c>
      <c r="I65" t="s">
        <v>247</v>
      </c>
      <c r="J65" t="s">
        <v>238</v>
      </c>
      <c r="K65" t="s">
        <v>235</v>
      </c>
      <c r="L65" t="s">
        <v>244</v>
      </c>
    </row>
    <row r="66" spans="1:12">
      <c r="A66">
        <v>1262</v>
      </c>
      <c r="B66" t="s">
        <v>183</v>
      </c>
      <c r="C66" t="str">
        <f>_xlfn.XLOOKUP(B66,product!$A$2:$A$20,product!$B$2:$B$20)</f>
        <v>Mouse</v>
      </c>
      <c r="D66" t="str">
        <f>_xlfn.XLOOKUP(C66,product!$B$2:$B$20,product!$C$2:$C$20)</f>
        <v>Input Device</v>
      </c>
      <c r="E66">
        <v>160</v>
      </c>
      <c r="F66">
        <v>500</v>
      </c>
      <c r="G66">
        <v>80000</v>
      </c>
      <c r="H66" s="12">
        <v>44626</v>
      </c>
      <c r="I66" t="s">
        <v>250</v>
      </c>
      <c r="J66" t="s">
        <v>234</v>
      </c>
      <c r="K66" t="s">
        <v>239</v>
      </c>
      <c r="L66" t="s">
        <v>246</v>
      </c>
    </row>
    <row r="67" spans="1:12">
      <c r="A67">
        <v>1132</v>
      </c>
      <c r="B67" t="s">
        <v>191</v>
      </c>
      <c r="C67" t="str">
        <f>_xlfn.XLOOKUP(B67,product!$A$2:$A$20,product!$B$2:$B$20)</f>
        <v>Graphics Card</v>
      </c>
      <c r="D67" t="str">
        <f>_xlfn.XLOOKUP(C67,product!$B$2:$B$20,product!$C$2:$C$20)</f>
        <v>Internal Hardware</v>
      </c>
      <c r="E67">
        <v>195</v>
      </c>
      <c r="F67">
        <v>12000</v>
      </c>
      <c r="G67">
        <v>2340000</v>
      </c>
      <c r="H67" s="12">
        <v>44627</v>
      </c>
      <c r="I67" t="s">
        <v>64</v>
      </c>
      <c r="J67" t="s">
        <v>238</v>
      </c>
      <c r="K67" t="s">
        <v>235</v>
      </c>
      <c r="L67" t="s">
        <v>249</v>
      </c>
    </row>
    <row r="68" spans="1:12">
      <c r="A68">
        <v>1555</v>
      </c>
      <c r="B68" t="s">
        <v>215</v>
      </c>
      <c r="C68" t="str">
        <f>_xlfn.XLOOKUP(B68,product!$A$2:$A$20,product!$B$2:$B$20)</f>
        <v>Speakers</v>
      </c>
      <c r="D68" t="str">
        <f>_xlfn.XLOOKUP(C68,product!$B$2:$B$20,product!$C$2:$C$20)</f>
        <v>Audio</v>
      </c>
      <c r="E68">
        <v>286</v>
      </c>
      <c r="F68">
        <v>5300</v>
      </c>
      <c r="G68">
        <v>1515800</v>
      </c>
      <c r="H68" s="12">
        <v>44628</v>
      </c>
      <c r="I68" t="s">
        <v>59</v>
      </c>
      <c r="J68" t="s">
        <v>234</v>
      </c>
      <c r="K68" t="s">
        <v>239</v>
      </c>
      <c r="L68" t="s">
        <v>251</v>
      </c>
    </row>
    <row r="69" spans="1:12">
      <c r="A69">
        <v>1265</v>
      </c>
      <c r="B69" t="s">
        <v>198</v>
      </c>
      <c r="C69" t="str">
        <f>_xlfn.XLOOKUP(B69,product!$A$2:$A$20,product!$B$2:$B$20)</f>
        <v>HDMI Cable</v>
      </c>
      <c r="D69" t="str">
        <f>_xlfn.XLOOKUP(C69,product!$B$2:$B$20,product!$C$2:$C$20)</f>
        <v>Cables &amp; Connectors</v>
      </c>
      <c r="E69">
        <v>106</v>
      </c>
      <c r="F69">
        <v>250</v>
      </c>
      <c r="G69">
        <v>26500</v>
      </c>
      <c r="H69" s="12">
        <v>44629</v>
      </c>
      <c r="I69" t="s">
        <v>254</v>
      </c>
      <c r="J69" t="s">
        <v>241</v>
      </c>
      <c r="K69" t="s">
        <v>235</v>
      </c>
      <c r="L69" t="s">
        <v>252</v>
      </c>
    </row>
    <row r="70" spans="1:12">
      <c r="A70">
        <v>1551</v>
      </c>
      <c r="B70" t="s">
        <v>208</v>
      </c>
      <c r="C70" t="str">
        <f>_xlfn.XLOOKUP(B70,product!$A$2:$A$20,product!$B$2:$B$20)</f>
        <v>Headset</v>
      </c>
      <c r="D70" t="str">
        <f>_xlfn.XLOOKUP(C70,product!$B$2:$B$20,product!$C$2:$C$20)</f>
        <v>Audio</v>
      </c>
      <c r="E70">
        <v>279</v>
      </c>
      <c r="F70">
        <v>1500</v>
      </c>
      <c r="G70">
        <v>418500</v>
      </c>
      <c r="H70" s="12">
        <v>44630</v>
      </c>
      <c r="I70" t="s">
        <v>256</v>
      </c>
      <c r="J70" t="s">
        <v>234</v>
      </c>
      <c r="K70" t="s">
        <v>248</v>
      </c>
      <c r="L70" t="s">
        <v>253</v>
      </c>
    </row>
    <row r="71" spans="1:12">
      <c r="A71">
        <v>1458</v>
      </c>
      <c r="B71" t="s">
        <v>187</v>
      </c>
      <c r="C71" t="str">
        <f>_xlfn.XLOOKUP(B71,product!$A$2:$A$20,product!$B$2:$B$20)</f>
        <v>USB Flash Drive</v>
      </c>
      <c r="D71" t="str">
        <f>_xlfn.XLOOKUP(C71,product!$B$2:$B$20,product!$C$2:$C$20)</f>
        <v>Storage</v>
      </c>
      <c r="E71">
        <v>151</v>
      </c>
      <c r="F71">
        <v>600</v>
      </c>
      <c r="G71">
        <v>90600</v>
      </c>
      <c r="H71" s="12">
        <v>44631</v>
      </c>
      <c r="I71" t="s">
        <v>258</v>
      </c>
      <c r="J71" t="s">
        <v>241</v>
      </c>
      <c r="K71" t="s">
        <v>248</v>
      </c>
      <c r="L71" t="s">
        <v>255</v>
      </c>
    </row>
    <row r="72" spans="1:12">
      <c r="A72">
        <v>1054</v>
      </c>
      <c r="B72" t="s">
        <v>206</v>
      </c>
      <c r="C72" t="str">
        <f>_xlfn.XLOOKUP(B72,product!$A$2:$A$20,product!$B$2:$B$20)</f>
        <v>Cooling Pad</v>
      </c>
      <c r="D72" t="str">
        <f>_xlfn.XLOOKUP(C72,product!$B$2:$B$20,product!$C$2:$C$20)</f>
        <v>Laptop Accessories</v>
      </c>
      <c r="E72">
        <v>208</v>
      </c>
      <c r="F72">
        <v>650</v>
      </c>
      <c r="G72">
        <v>135200</v>
      </c>
      <c r="H72" s="12">
        <v>44632</v>
      </c>
      <c r="I72" t="s">
        <v>260</v>
      </c>
      <c r="J72" t="s">
        <v>234</v>
      </c>
      <c r="K72" t="s">
        <v>248</v>
      </c>
      <c r="L72" t="s">
        <v>257</v>
      </c>
    </row>
    <row r="73" spans="1:12">
      <c r="A73">
        <v>1510</v>
      </c>
      <c r="B73" t="s">
        <v>181</v>
      </c>
      <c r="C73" t="str">
        <f>_xlfn.XLOOKUP(B73,product!$A$2:$A$20,product!$B$2:$B$20)</f>
        <v>Keyboard</v>
      </c>
      <c r="D73" t="str">
        <f>_xlfn.XLOOKUP(C73,product!$B$2:$B$20,product!$C$2:$C$20)</f>
        <v>Input Device</v>
      </c>
      <c r="E73">
        <v>293</v>
      </c>
      <c r="F73">
        <v>800</v>
      </c>
      <c r="G73">
        <v>234400</v>
      </c>
      <c r="H73" s="12">
        <v>44633</v>
      </c>
      <c r="I73" t="s">
        <v>233</v>
      </c>
      <c r="J73" t="s">
        <v>234</v>
      </c>
      <c r="K73" t="s">
        <v>235</v>
      </c>
      <c r="L73" t="s">
        <v>259</v>
      </c>
    </row>
    <row r="74" spans="1:12">
      <c r="A74">
        <v>1572</v>
      </c>
      <c r="B74" t="s">
        <v>215</v>
      </c>
      <c r="C74" t="str">
        <f>_xlfn.XLOOKUP(B74,product!$A$2:$A$20,product!$B$2:$B$20)</f>
        <v>Speakers</v>
      </c>
      <c r="D74" t="str">
        <f>_xlfn.XLOOKUP(C74,product!$B$2:$B$20,product!$C$2:$C$20)</f>
        <v>Audio</v>
      </c>
      <c r="E74">
        <v>222</v>
      </c>
      <c r="F74">
        <v>5300</v>
      </c>
      <c r="G74">
        <v>1176600</v>
      </c>
      <c r="H74" s="12">
        <v>44634</v>
      </c>
      <c r="I74" t="s">
        <v>237</v>
      </c>
      <c r="J74" t="s">
        <v>241</v>
      </c>
      <c r="K74" t="s">
        <v>248</v>
      </c>
      <c r="L74" t="s">
        <v>261</v>
      </c>
    </row>
    <row r="75" spans="1:12">
      <c r="A75">
        <v>1594</v>
      </c>
      <c r="B75" t="s">
        <v>208</v>
      </c>
      <c r="C75" t="str">
        <f>_xlfn.XLOOKUP(B75,product!$A$2:$A$20,product!$B$2:$B$20)</f>
        <v>Headset</v>
      </c>
      <c r="D75" t="str">
        <f>_xlfn.XLOOKUP(C75,product!$B$2:$B$20,product!$C$2:$C$20)</f>
        <v>Audio</v>
      </c>
      <c r="E75">
        <v>159</v>
      </c>
      <c r="F75">
        <v>1500</v>
      </c>
      <c r="G75">
        <v>238500</v>
      </c>
      <c r="H75" s="12">
        <v>44635</v>
      </c>
      <c r="I75" t="s">
        <v>90</v>
      </c>
      <c r="J75" t="s">
        <v>238</v>
      </c>
      <c r="K75" t="s">
        <v>248</v>
      </c>
      <c r="L75" t="s">
        <v>262</v>
      </c>
    </row>
    <row r="76" spans="1:12">
      <c r="A76">
        <v>1527</v>
      </c>
      <c r="B76" t="s">
        <v>189</v>
      </c>
      <c r="C76" t="str">
        <f>_xlfn.XLOOKUP(B76,product!$A$2:$A$20,product!$B$2:$B$20)</f>
        <v>Monitor</v>
      </c>
      <c r="D76" t="str">
        <f>_xlfn.XLOOKUP(C76,product!$B$2:$B$20,product!$C$2:$C$20)</f>
        <v>Display</v>
      </c>
      <c r="E76">
        <v>141</v>
      </c>
      <c r="F76">
        <v>15000</v>
      </c>
      <c r="G76">
        <v>2115000</v>
      </c>
      <c r="H76" s="12">
        <v>44636</v>
      </c>
      <c r="I76" t="s">
        <v>243</v>
      </c>
      <c r="J76" t="s">
        <v>238</v>
      </c>
      <c r="K76" t="s">
        <v>235</v>
      </c>
      <c r="L76" t="s">
        <v>263</v>
      </c>
    </row>
    <row r="77" spans="1:12">
      <c r="A77">
        <v>1014</v>
      </c>
      <c r="B77" t="s">
        <v>183</v>
      </c>
      <c r="C77" t="str">
        <f>_xlfn.XLOOKUP(B77,product!$A$2:$A$20,product!$B$2:$B$20)</f>
        <v>Mouse</v>
      </c>
      <c r="D77" t="str">
        <f>_xlfn.XLOOKUP(C77,product!$B$2:$B$20,product!$C$2:$C$20)</f>
        <v>Input Device</v>
      </c>
      <c r="E77">
        <v>109</v>
      </c>
      <c r="F77">
        <v>500</v>
      </c>
      <c r="G77">
        <v>54500</v>
      </c>
      <c r="H77" s="12">
        <v>44637</v>
      </c>
      <c r="I77" t="s">
        <v>245</v>
      </c>
      <c r="J77" t="s">
        <v>238</v>
      </c>
      <c r="K77" t="s">
        <v>239</v>
      </c>
      <c r="L77" t="s">
        <v>236</v>
      </c>
    </row>
    <row r="78" spans="1:12">
      <c r="A78">
        <v>1562</v>
      </c>
      <c r="B78" t="s">
        <v>213</v>
      </c>
      <c r="C78" t="str">
        <f>_xlfn.XLOOKUP(B78,product!$A$2:$A$20,product!$B$2:$B$20)</f>
        <v>Scanner</v>
      </c>
      <c r="D78" t="str">
        <f>_xlfn.XLOOKUP(C78,product!$B$2:$B$20,product!$C$2:$C$20)</f>
        <v>Peripherals</v>
      </c>
      <c r="E78">
        <v>126</v>
      </c>
      <c r="F78">
        <v>7600</v>
      </c>
      <c r="G78">
        <v>957600</v>
      </c>
      <c r="H78" s="12">
        <v>44638</v>
      </c>
      <c r="I78" t="s">
        <v>247</v>
      </c>
      <c r="J78" t="s">
        <v>238</v>
      </c>
      <c r="K78" t="s">
        <v>248</v>
      </c>
      <c r="L78" t="s">
        <v>240</v>
      </c>
    </row>
    <row r="79" spans="1:12">
      <c r="A79">
        <v>1310</v>
      </c>
      <c r="B79" t="s">
        <v>198</v>
      </c>
      <c r="C79" t="str">
        <f>_xlfn.XLOOKUP(B79,product!$A$2:$A$20,product!$B$2:$B$20)</f>
        <v>HDMI Cable</v>
      </c>
      <c r="D79" t="str">
        <f>_xlfn.XLOOKUP(C79,product!$B$2:$B$20,product!$C$2:$C$20)</f>
        <v>Cables &amp; Connectors</v>
      </c>
      <c r="E79">
        <v>170</v>
      </c>
      <c r="F79">
        <v>250</v>
      </c>
      <c r="G79">
        <v>42500</v>
      </c>
      <c r="H79" s="12">
        <v>44639</v>
      </c>
      <c r="I79" t="s">
        <v>250</v>
      </c>
      <c r="J79" t="s">
        <v>238</v>
      </c>
      <c r="K79" t="s">
        <v>235</v>
      </c>
      <c r="L79" t="s">
        <v>242</v>
      </c>
    </row>
    <row r="80" spans="1:12">
      <c r="A80">
        <v>1256</v>
      </c>
      <c r="B80" t="s">
        <v>201</v>
      </c>
      <c r="C80" t="str">
        <f>_xlfn.XLOOKUP(B80,product!$A$2:$A$20,product!$B$2:$B$20)</f>
        <v>Webcam</v>
      </c>
      <c r="D80" t="str">
        <f>_xlfn.XLOOKUP(C80,product!$B$2:$B$20,product!$C$2:$C$20)</f>
        <v>Peripherals</v>
      </c>
      <c r="E80">
        <v>197</v>
      </c>
      <c r="F80">
        <v>3500</v>
      </c>
      <c r="G80">
        <v>689500</v>
      </c>
      <c r="H80" s="12">
        <v>44640</v>
      </c>
      <c r="I80" t="s">
        <v>64</v>
      </c>
      <c r="J80" t="s">
        <v>241</v>
      </c>
      <c r="K80" t="s">
        <v>235</v>
      </c>
      <c r="L80" t="s">
        <v>244</v>
      </c>
    </row>
    <row r="81" spans="1:12">
      <c r="A81">
        <v>1035</v>
      </c>
      <c r="B81" t="s">
        <v>222</v>
      </c>
      <c r="C81" t="str">
        <f>_xlfn.XLOOKUP(B81,product!$A$2:$A$20,product!$B$2:$B$20)</f>
        <v>Laptop Bag</v>
      </c>
      <c r="D81" t="str">
        <f>_xlfn.XLOOKUP(C81,product!$B$2:$B$20,product!$C$2:$C$20)</f>
        <v>Laptop Accessories</v>
      </c>
      <c r="E81">
        <v>190</v>
      </c>
      <c r="F81">
        <v>300</v>
      </c>
      <c r="G81">
        <v>57000</v>
      </c>
      <c r="H81" s="12">
        <v>44641</v>
      </c>
      <c r="I81" t="s">
        <v>254</v>
      </c>
      <c r="J81" t="s">
        <v>238</v>
      </c>
      <c r="K81" t="s">
        <v>239</v>
      </c>
      <c r="L81" t="s">
        <v>246</v>
      </c>
    </row>
    <row r="82" spans="1:12">
      <c r="A82">
        <v>1188</v>
      </c>
      <c r="B82" t="s">
        <v>206</v>
      </c>
      <c r="C82" t="str">
        <f>_xlfn.XLOOKUP(B82,product!$A$2:$A$20,product!$B$2:$B$20)</f>
        <v>Cooling Pad</v>
      </c>
      <c r="D82" t="str">
        <f>_xlfn.XLOOKUP(C82,product!$B$2:$B$20,product!$C$2:$C$20)</f>
        <v>Laptop Accessories</v>
      </c>
      <c r="E82">
        <v>194</v>
      </c>
      <c r="F82">
        <v>650</v>
      </c>
      <c r="G82">
        <v>126100</v>
      </c>
      <c r="H82" s="12">
        <v>44642</v>
      </c>
      <c r="I82" t="s">
        <v>256</v>
      </c>
      <c r="J82" t="s">
        <v>241</v>
      </c>
      <c r="K82" t="s">
        <v>235</v>
      </c>
      <c r="L82" t="s">
        <v>249</v>
      </c>
    </row>
    <row r="83" spans="1:12">
      <c r="A83">
        <v>1312</v>
      </c>
      <c r="B83" t="s">
        <v>196</v>
      </c>
      <c r="C83" t="str">
        <f>_xlfn.XLOOKUP(B83,product!$A$2:$A$20,product!$B$2:$B$20)</f>
        <v>SSD</v>
      </c>
      <c r="D83" t="str">
        <f>_xlfn.XLOOKUP(C83,product!$B$2:$B$20,product!$C$2:$C$20)</f>
        <v>Internal Hardware</v>
      </c>
      <c r="E83">
        <v>288</v>
      </c>
      <c r="F83">
        <v>9500</v>
      </c>
      <c r="G83">
        <v>2736000</v>
      </c>
      <c r="H83" s="12">
        <v>44643</v>
      </c>
      <c r="I83" t="s">
        <v>258</v>
      </c>
      <c r="J83" t="s">
        <v>241</v>
      </c>
      <c r="K83" t="s">
        <v>248</v>
      </c>
      <c r="L83" t="s">
        <v>251</v>
      </c>
    </row>
    <row r="84" spans="1:12">
      <c r="A84">
        <v>1622</v>
      </c>
      <c r="B84" t="s">
        <v>198</v>
      </c>
      <c r="C84" t="str">
        <f>_xlfn.XLOOKUP(B84,product!$A$2:$A$20,product!$B$2:$B$20)</f>
        <v>HDMI Cable</v>
      </c>
      <c r="D84" t="str">
        <f>_xlfn.XLOOKUP(C84,product!$B$2:$B$20,product!$C$2:$C$20)</f>
        <v>Cables &amp; Connectors</v>
      </c>
      <c r="E84">
        <v>272</v>
      </c>
      <c r="F84">
        <v>250</v>
      </c>
      <c r="G84">
        <v>68000</v>
      </c>
      <c r="H84" s="12">
        <v>44644</v>
      </c>
      <c r="I84" t="s">
        <v>260</v>
      </c>
      <c r="J84" t="s">
        <v>234</v>
      </c>
      <c r="K84" t="s">
        <v>248</v>
      </c>
      <c r="L84" t="s">
        <v>252</v>
      </c>
    </row>
    <row r="85" spans="1:12">
      <c r="A85">
        <v>1027</v>
      </c>
      <c r="B85" t="s">
        <v>201</v>
      </c>
      <c r="C85" t="str">
        <f>_xlfn.XLOOKUP(B85,product!$A$2:$A$20,product!$B$2:$B$20)</f>
        <v>Webcam</v>
      </c>
      <c r="D85" t="str">
        <f>_xlfn.XLOOKUP(C85,product!$B$2:$B$20,product!$C$2:$C$20)</f>
        <v>Peripherals</v>
      </c>
      <c r="E85">
        <v>206</v>
      </c>
      <c r="F85">
        <v>3500</v>
      </c>
      <c r="G85">
        <v>721000</v>
      </c>
      <c r="H85" s="12">
        <v>44645</v>
      </c>
      <c r="I85" t="s">
        <v>233</v>
      </c>
      <c r="J85" t="s">
        <v>238</v>
      </c>
      <c r="K85" t="s">
        <v>248</v>
      </c>
      <c r="L85" t="s">
        <v>253</v>
      </c>
    </row>
    <row r="86" spans="1:12">
      <c r="A86">
        <v>1711</v>
      </c>
      <c r="B86" t="s">
        <v>181</v>
      </c>
      <c r="C86" t="str">
        <f>_xlfn.XLOOKUP(B86,product!$A$2:$A$20,product!$B$2:$B$20)</f>
        <v>Keyboard</v>
      </c>
      <c r="D86" t="str">
        <f>_xlfn.XLOOKUP(C86,product!$B$2:$B$20,product!$C$2:$C$20)</f>
        <v>Input Device</v>
      </c>
      <c r="E86">
        <v>184</v>
      </c>
      <c r="F86">
        <v>800</v>
      </c>
      <c r="G86">
        <v>147200</v>
      </c>
      <c r="H86" s="12">
        <v>44646</v>
      </c>
      <c r="I86" t="s">
        <v>237</v>
      </c>
      <c r="J86" t="s">
        <v>241</v>
      </c>
      <c r="K86" t="s">
        <v>239</v>
      </c>
      <c r="L86" t="s">
        <v>255</v>
      </c>
    </row>
    <row r="87" spans="1:12">
      <c r="A87">
        <v>1633</v>
      </c>
      <c r="B87" t="s">
        <v>211</v>
      </c>
      <c r="C87" t="str">
        <f>_xlfn.XLOOKUP(B87,product!$A$2:$A$20,product!$B$2:$B$20)</f>
        <v>Printer</v>
      </c>
      <c r="D87" t="str">
        <f>_xlfn.XLOOKUP(C87,product!$B$2:$B$20,product!$C$2:$C$20)</f>
        <v>Peripherals</v>
      </c>
      <c r="E87">
        <v>193</v>
      </c>
      <c r="F87">
        <v>11500</v>
      </c>
      <c r="G87">
        <v>2219500</v>
      </c>
      <c r="H87" s="12">
        <v>44647</v>
      </c>
      <c r="I87" t="s">
        <v>90</v>
      </c>
      <c r="J87" t="s">
        <v>238</v>
      </c>
      <c r="K87" t="s">
        <v>248</v>
      </c>
      <c r="L87" t="s">
        <v>257</v>
      </c>
    </row>
    <row r="88" spans="1:12">
      <c r="A88">
        <v>1353</v>
      </c>
      <c r="B88" t="s">
        <v>198</v>
      </c>
      <c r="C88" t="str">
        <f>_xlfn.XLOOKUP(B88,product!$A$2:$A$20,product!$B$2:$B$20)</f>
        <v>HDMI Cable</v>
      </c>
      <c r="D88" t="str">
        <f>_xlfn.XLOOKUP(C88,product!$B$2:$B$20,product!$C$2:$C$20)</f>
        <v>Cables &amp; Connectors</v>
      </c>
      <c r="E88">
        <v>138</v>
      </c>
      <c r="F88">
        <v>250</v>
      </c>
      <c r="G88">
        <v>34500</v>
      </c>
      <c r="H88" s="12">
        <v>44648</v>
      </c>
      <c r="I88" t="s">
        <v>243</v>
      </c>
      <c r="J88" t="s">
        <v>241</v>
      </c>
      <c r="K88" t="s">
        <v>239</v>
      </c>
      <c r="L88" t="s">
        <v>259</v>
      </c>
    </row>
    <row r="89" spans="1:12">
      <c r="A89">
        <v>1807</v>
      </c>
      <c r="B89" t="s">
        <v>206</v>
      </c>
      <c r="C89" t="str">
        <f>_xlfn.XLOOKUP(B89,product!$A$2:$A$20,product!$B$2:$B$20)</f>
        <v>Cooling Pad</v>
      </c>
      <c r="D89" t="str">
        <f>_xlfn.XLOOKUP(C89,product!$B$2:$B$20,product!$C$2:$C$20)</f>
        <v>Laptop Accessories</v>
      </c>
      <c r="E89">
        <v>272</v>
      </c>
      <c r="F89">
        <v>650</v>
      </c>
      <c r="G89">
        <v>176800</v>
      </c>
      <c r="H89" s="12">
        <v>44649</v>
      </c>
      <c r="I89" t="s">
        <v>245</v>
      </c>
      <c r="J89" t="s">
        <v>234</v>
      </c>
      <c r="K89" t="s">
        <v>235</v>
      </c>
      <c r="L89" t="s">
        <v>261</v>
      </c>
    </row>
    <row r="90" spans="1:12">
      <c r="A90">
        <v>1758</v>
      </c>
      <c r="B90" t="s">
        <v>213</v>
      </c>
      <c r="C90" t="str">
        <f>_xlfn.XLOOKUP(B90,product!$A$2:$A$20,product!$B$2:$B$20)</f>
        <v>Scanner</v>
      </c>
      <c r="D90" t="str">
        <f>_xlfn.XLOOKUP(C90,product!$B$2:$B$20,product!$C$2:$C$20)</f>
        <v>Peripherals</v>
      </c>
      <c r="E90">
        <v>140</v>
      </c>
      <c r="F90">
        <v>7600</v>
      </c>
      <c r="G90">
        <v>1064000</v>
      </c>
      <c r="H90" s="12">
        <v>44650</v>
      </c>
      <c r="I90" t="s">
        <v>247</v>
      </c>
      <c r="J90" t="s">
        <v>234</v>
      </c>
      <c r="K90" t="s">
        <v>235</v>
      </c>
      <c r="L90" t="s">
        <v>262</v>
      </c>
    </row>
    <row r="91" spans="1:12">
      <c r="A91">
        <v>1343</v>
      </c>
      <c r="B91" t="s">
        <v>181</v>
      </c>
      <c r="C91" t="str">
        <f>_xlfn.XLOOKUP(B91,product!$A$2:$A$20,product!$B$2:$B$20)</f>
        <v>Keyboard</v>
      </c>
      <c r="D91" t="str">
        <f>_xlfn.XLOOKUP(C91,product!$B$2:$B$20,product!$C$2:$C$20)</f>
        <v>Input Device</v>
      </c>
      <c r="E91">
        <v>176</v>
      </c>
      <c r="F91">
        <v>800</v>
      </c>
      <c r="G91">
        <v>140800</v>
      </c>
      <c r="H91" s="12">
        <v>44651</v>
      </c>
      <c r="I91" t="s">
        <v>250</v>
      </c>
      <c r="J91" t="s">
        <v>241</v>
      </c>
      <c r="K91" t="s">
        <v>235</v>
      </c>
      <c r="L91" t="s">
        <v>263</v>
      </c>
    </row>
    <row r="92" spans="1:12">
      <c r="A92">
        <v>1245</v>
      </c>
      <c r="B92" t="s">
        <v>206</v>
      </c>
      <c r="C92" t="str">
        <f>_xlfn.XLOOKUP(B92,product!$A$2:$A$20,product!$B$2:$B$20)</f>
        <v>Cooling Pad</v>
      </c>
      <c r="D92" t="str">
        <f>_xlfn.XLOOKUP(C92,product!$B$2:$B$20,product!$C$2:$C$20)</f>
        <v>Laptop Accessories</v>
      </c>
      <c r="E92">
        <v>188</v>
      </c>
      <c r="F92">
        <v>650</v>
      </c>
      <c r="G92">
        <v>122200</v>
      </c>
      <c r="H92" s="12">
        <v>44652</v>
      </c>
      <c r="I92" t="s">
        <v>64</v>
      </c>
      <c r="J92" t="s">
        <v>241</v>
      </c>
      <c r="K92" t="s">
        <v>248</v>
      </c>
      <c r="L92" t="s">
        <v>236</v>
      </c>
    </row>
    <row r="93" spans="1:12">
      <c r="A93">
        <v>1188</v>
      </c>
      <c r="B93" t="s">
        <v>211</v>
      </c>
      <c r="C93" t="str">
        <f>_xlfn.XLOOKUP(B93,product!$A$2:$A$20,product!$B$2:$B$20)</f>
        <v>Printer</v>
      </c>
      <c r="D93" t="str">
        <f>_xlfn.XLOOKUP(C93,product!$B$2:$B$20,product!$C$2:$C$20)</f>
        <v>Peripherals</v>
      </c>
      <c r="E93">
        <v>182</v>
      </c>
      <c r="F93">
        <v>11500</v>
      </c>
      <c r="G93">
        <v>2093000</v>
      </c>
      <c r="H93" s="12">
        <v>44653</v>
      </c>
      <c r="I93" t="s">
        <v>245</v>
      </c>
      <c r="J93" t="s">
        <v>234</v>
      </c>
      <c r="K93" t="s">
        <v>248</v>
      </c>
      <c r="L93" t="s">
        <v>240</v>
      </c>
    </row>
    <row r="94" spans="1:12">
      <c r="A94">
        <v>1118</v>
      </c>
      <c r="B94" t="s">
        <v>194</v>
      </c>
      <c r="C94" t="str">
        <f>_xlfn.XLOOKUP(B94,product!$A$2:$A$20,product!$B$2:$B$20)</f>
        <v>RAM Module</v>
      </c>
      <c r="D94" t="str">
        <f>_xlfn.XLOOKUP(C94,product!$B$2:$B$20,product!$C$2:$C$20)</f>
        <v>Internal Hardware</v>
      </c>
      <c r="E94">
        <v>209</v>
      </c>
      <c r="F94">
        <v>7500</v>
      </c>
      <c r="G94">
        <v>1567500</v>
      </c>
      <c r="H94" s="12">
        <v>44654</v>
      </c>
      <c r="I94" t="s">
        <v>247</v>
      </c>
      <c r="J94" t="s">
        <v>234</v>
      </c>
      <c r="K94" t="s">
        <v>239</v>
      </c>
      <c r="L94" t="s">
        <v>242</v>
      </c>
    </row>
    <row r="95" spans="1:12">
      <c r="A95">
        <v>1425</v>
      </c>
      <c r="B95" t="s">
        <v>194</v>
      </c>
      <c r="C95" t="str">
        <f>_xlfn.XLOOKUP(B95,product!$A$2:$A$20,product!$B$2:$B$20)</f>
        <v>RAM Module</v>
      </c>
      <c r="D95" t="str">
        <f>_xlfn.XLOOKUP(C95,product!$B$2:$B$20,product!$C$2:$C$20)</f>
        <v>Internal Hardware</v>
      </c>
      <c r="E95">
        <v>231</v>
      </c>
      <c r="F95">
        <v>7500</v>
      </c>
      <c r="G95">
        <v>1732500</v>
      </c>
      <c r="H95" s="12">
        <v>44655</v>
      </c>
      <c r="I95" t="s">
        <v>250</v>
      </c>
      <c r="J95" t="s">
        <v>238</v>
      </c>
      <c r="K95" t="s">
        <v>235</v>
      </c>
      <c r="L95" t="s">
        <v>244</v>
      </c>
    </row>
    <row r="96" spans="1:12">
      <c r="A96">
        <v>1510</v>
      </c>
      <c r="B96" t="s">
        <v>203</v>
      </c>
      <c r="C96" t="str">
        <f>_xlfn.XLOOKUP(B96,product!$A$2:$A$20,product!$B$2:$B$20)</f>
        <v>Laptop Stand</v>
      </c>
      <c r="D96" t="str">
        <f>_xlfn.XLOOKUP(C96,product!$B$2:$B$20,product!$C$2:$C$20)</f>
        <v>Laptop Accessories</v>
      </c>
      <c r="E96">
        <v>263</v>
      </c>
      <c r="F96">
        <v>500</v>
      </c>
      <c r="G96">
        <v>131500</v>
      </c>
      <c r="H96" s="12">
        <v>44656</v>
      </c>
      <c r="I96" t="s">
        <v>64</v>
      </c>
      <c r="J96" t="s">
        <v>238</v>
      </c>
      <c r="K96" t="s">
        <v>235</v>
      </c>
      <c r="L96" t="s">
        <v>246</v>
      </c>
    </row>
    <row r="97" spans="1:12">
      <c r="A97">
        <v>1099</v>
      </c>
      <c r="B97" t="s">
        <v>183</v>
      </c>
      <c r="C97" t="str">
        <f>_xlfn.XLOOKUP(B97,product!$A$2:$A$20,product!$B$2:$B$20)</f>
        <v>Mouse</v>
      </c>
      <c r="D97" t="str">
        <f>_xlfn.XLOOKUP(C97,product!$B$2:$B$20,product!$C$2:$C$20)</f>
        <v>Input Device</v>
      </c>
      <c r="E97">
        <v>167</v>
      </c>
      <c r="F97">
        <v>500</v>
      </c>
      <c r="G97">
        <v>83500</v>
      </c>
      <c r="H97" s="12">
        <v>44657</v>
      </c>
      <c r="I97" t="s">
        <v>59</v>
      </c>
      <c r="J97" t="s">
        <v>238</v>
      </c>
      <c r="K97" t="s">
        <v>248</v>
      </c>
      <c r="L97" t="s">
        <v>249</v>
      </c>
    </row>
    <row r="98" spans="1:12">
      <c r="A98">
        <v>1016</v>
      </c>
      <c r="B98" t="s">
        <v>208</v>
      </c>
      <c r="C98" t="str">
        <f>_xlfn.XLOOKUP(B98,product!$A$2:$A$20,product!$B$2:$B$20)</f>
        <v>Headset</v>
      </c>
      <c r="D98" t="str">
        <f>_xlfn.XLOOKUP(C98,product!$B$2:$B$20,product!$C$2:$C$20)</f>
        <v>Audio</v>
      </c>
      <c r="E98">
        <v>106</v>
      </c>
      <c r="F98">
        <v>1500</v>
      </c>
      <c r="G98">
        <v>159000</v>
      </c>
      <c r="H98" s="12">
        <v>44658</v>
      </c>
      <c r="I98" t="s">
        <v>254</v>
      </c>
      <c r="J98" t="s">
        <v>238</v>
      </c>
      <c r="K98" t="s">
        <v>235</v>
      </c>
      <c r="L98" t="s">
        <v>251</v>
      </c>
    </row>
    <row r="99" spans="1:12">
      <c r="A99">
        <v>1141</v>
      </c>
      <c r="B99" t="s">
        <v>208</v>
      </c>
      <c r="C99" t="str">
        <f>_xlfn.XLOOKUP(B99,product!$A$2:$A$20,product!$B$2:$B$20)</f>
        <v>Headset</v>
      </c>
      <c r="D99" t="str">
        <f>_xlfn.XLOOKUP(C99,product!$B$2:$B$20,product!$C$2:$C$20)</f>
        <v>Audio</v>
      </c>
      <c r="E99">
        <v>300</v>
      </c>
      <c r="F99">
        <v>1500</v>
      </c>
      <c r="G99">
        <v>450000</v>
      </c>
      <c r="H99" s="12">
        <v>44659</v>
      </c>
      <c r="I99" t="s">
        <v>256</v>
      </c>
      <c r="J99" t="s">
        <v>234</v>
      </c>
      <c r="K99" t="s">
        <v>235</v>
      </c>
      <c r="L99" t="s">
        <v>252</v>
      </c>
    </row>
    <row r="100" spans="1:12">
      <c r="A100">
        <v>1287</v>
      </c>
      <c r="B100" t="s">
        <v>208</v>
      </c>
      <c r="C100" t="str">
        <f>_xlfn.XLOOKUP(B100,product!$A$2:$A$20,product!$B$2:$B$20)</f>
        <v>Headset</v>
      </c>
      <c r="D100" t="str">
        <f>_xlfn.XLOOKUP(C100,product!$B$2:$B$20,product!$C$2:$C$20)</f>
        <v>Audio</v>
      </c>
      <c r="E100">
        <v>152</v>
      </c>
      <c r="F100">
        <v>1500</v>
      </c>
      <c r="G100">
        <v>228000</v>
      </c>
      <c r="H100" s="12">
        <v>44660</v>
      </c>
      <c r="I100" t="s">
        <v>258</v>
      </c>
      <c r="J100" t="s">
        <v>241</v>
      </c>
      <c r="K100" t="s">
        <v>248</v>
      </c>
      <c r="L100" t="s">
        <v>253</v>
      </c>
    </row>
    <row r="101" spans="1:12">
      <c r="A101">
        <v>473</v>
      </c>
      <c r="B101" t="s">
        <v>183</v>
      </c>
      <c r="C101" t="str">
        <f>_xlfn.XLOOKUP(B101,product!$A$2:$A$20,product!$B$2:$B$20)</f>
        <v>Mouse</v>
      </c>
      <c r="D101" t="str">
        <f>_xlfn.XLOOKUP(C101,product!$B$2:$B$20,product!$C$2:$C$20)</f>
        <v>Input Device</v>
      </c>
      <c r="E101">
        <v>103</v>
      </c>
      <c r="F101">
        <v>2883</v>
      </c>
      <c r="G101">
        <v>296949</v>
      </c>
      <c r="H101" s="12">
        <v>44661</v>
      </c>
      <c r="I101" t="s">
        <v>260</v>
      </c>
      <c r="J101" t="s">
        <v>241</v>
      </c>
      <c r="K101" t="s">
        <v>235</v>
      </c>
      <c r="L101" t="s">
        <v>255</v>
      </c>
    </row>
    <row r="102" spans="1:12">
      <c r="A102">
        <v>274</v>
      </c>
      <c r="B102" t="s">
        <v>203</v>
      </c>
      <c r="C102" t="str">
        <f>_xlfn.XLOOKUP(B102,product!$A$2:$A$20,product!$B$2:$B$20)</f>
        <v>Laptop Stand</v>
      </c>
      <c r="D102" t="str">
        <f>_xlfn.XLOOKUP(C102,product!$B$2:$B$20,product!$C$2:$C$20)</f>
        <v>Laptop Accessories</v>
      </c>
      <c r="E102">
        <v>267</v>
      </c>
      <c r="F102">
        <v>3576</v>
      </c>
      <c r="G102">
        <v>954792</v>
      </c>
      <c r="H102" s="12">
        <v>44662</v>
      </c>
      <c r="I102" t="s">
        <v>233</v>
      </c>
      <c r="J102" t="s">
        <v>234</v>
      </c>
      <c r="K102" t="s">
        <v>235</v>
      </c>
      <c r="L102" t="s">
        <v>257</v>
      </c>
    </row>
    <row r="103" spans="1:12">
      <c r="A103">
        <v>283</v>
      </c>
      <c r="B103" t="s">
        <v>196</v>
      </c>
      <c r="C103" t="str">
        <f>_xlfn.XLOOKUP(B103,product!$A$2:$A$20,product!$B$2:$B$20)</f>
        <v>SSD</v>
      </c>
      <c r="D103" t="str">
        <f>_xlfn.XLOOKUP(C103,product!$B$2:$B$20,product!$C$2:$C$20)</f>
        <v>Internal Hardware</v>
      </c>
      <c r="E103">
        <v>166</v>
      </c>
      <c r="F103">
        <v>3552</v>
      </c>
      <c r="G103">
        <v>589632</v>
      </c>
      <c r="H103" s="12">
        <v>44663</v>
      </c>
      <c r="I103" t="s">
        <v>237</v>
      </c>
      <c r="J103" t="s">
        <v>238</v>
      </c>
      <c r="K103" t="s">
        <v>239</v>
      </c>
      <c r="L103" t="s">
        <v>259</v>
      </c>
    </row>
    <row r="104" spans="1:12">
      <c r="A104">
        <v>491</v>
      </c>
      <c r="B104" t="s">
        <v>217</v>
      </c>
      <c r="C104" t="str">
        <f>_xlfn.XLOOKUP(B104,product!$A$2:$A$20,product!$B$2:$B$20)</f>
        <v>Wireless Router</v>
      </c>
      <c r="D104" t="str">
        <f>_xlfn.XLOOKUP(C104,product!$B$2:$B$20,product!$C$2:$C$20)</f>
        <v>Network</v>
      </c>
      <c r="E104">
        <v>260</v>
      </c>
      <c r="F104">
        <v>2228</v>
      </c>
      <c r="G104">
        <v>579280</v>
      </c>
      <c r="H104" s="12">
        <v>44664</v>
      </c>
      <c r="I104" t="s">
        <v>90</v>
      </c>
      <c r="J104" t="s">
        <v>241</v>
      </c>
      <c r="K104" t="s">
        <v>235</v>
      </c>
      <c r="L104" t="s">
        <v>261</v>
      </c>
    </row>
    <row r="105" spans="1:12">
      <c r="A105">
        <v>471</v>
      </c>
      <c r="B105" t="s">
        <v>189</v>
      </c>
      <c r="C105" t="str">
        <f>_xlfn.XLOOKUP(B105,product!$A$2:$A$20,product!$B$2:$B$20)</f>
        <v>Monitor</v>
      </c>
      <c r="D105" t="str">
        <f>_xlfn.XLOOKUP(C105,product!$B$2:$B$20,product!$C$2:$C$20)</f>
        <v>Display</v>
      </c>
      <c r="E105">
        <v>162</v>
      </c>
      <c r="F105">
        <v>4524</v>
      </c>
      <c r="G105">
        <v>732888</v>
      </c>
      <c r="H105" s="12">
        <v>44665</v>
      </c>
      <c r="I105" t="s">
        <v>243</v>
      </c>
      <c r="J105" t="s">
        <v>234</v>
      </c>
      <c r="K105" t="s">
        <v>239</v>
      </c>
      <c r="L105" t="s">
        <v>262</v>
      </c>
    </row>
    <row r="106" spans="1:12">
      <c r="A106">
        <v>435</v>
      </c>
      <c r="B106" t="s">
        <v>203</v>
      </c>
      <c r="C106" t="str">
        <f>_xlfn.XLOOKUP(B106,product!$A$2:$A$20,product!$B$2:$B$20)</f>
        <v>Laptop Stand</v>
      </c>
      <c r="D106" t="str">
        <f>_xlfn.XLOOKUP(C106,product!$B$2:$B$20,product!$C$2:$C$20)</f>
        <v>Laptop Accessories</v>
      </c>
      <c r="E106">
        <v>265</v>
      </c>
      <c r="F106">
        <v>2589</v>
      </c>
      <c r="G106">
        <v>686085</v>
      </c>
      <c r="H106" s="12">
        <v>44666</v>
      </c>
      <c r="I106" t="s">
        <v>245</v>
      </c>
      <c r="J106" t="s">
        <v>234</v>
      </c>
      <c r="K106" t="s">
        <v>235</v>
      </c>
      <c r="L106" t="s">
        <v>263</v>
      </c>
    </row>
    <row r="107" spans="1:12">
      <c r="A107">
        <v>336</v>
      </c>
      <c r="B107" t="s">
        <v>191</v>
      </c>
      <c r="C107" t="str">
        <f>_xlfn.XLOOKUP(B107,product!$A$2:$A$20,product!$B$2:$B$20)</f>
        <v>Graphics Card</v>
      </c>
      <c r="D107" t="str">
        <f>_xlfn.XLOOKUP(C107,product!$B$2:$B$20,product!$C$2:$C$20)</f>
        <v>Internal Hardware</v>
      </c>
      <c r="E107">
        <v>198</v>
      </c>
      <c r="F107">
        <v>3489</v>
      </c>
      <c r="G107">
        <v>690822</v>
      </c>
      <c r="H107" s="12">
        <v>44667</v>
      </c>
      <c r="I107" t="s">
        <v>247</v>
      </c>
      <c r="J107" t="s">
        <v>238</v>
      </c>
      <c r="K107" t="s">
        <v>248</v>
      </c>
      <c r="L107" t="s">
        <v>236</v>
      </c>
    </row>
    <row r="108" spans="1:12">
      <c r="A108">
        <v>413</v>
      </c>
      <c r="B108" t="s">
        <v>181</v>
      </c>
      <c r="C108" t="str">
        <f>_xlfn.XLOOKUP(B108,product!$A$2:$A$20,product!$B$2:$B$20)</f>
        <v>Keyboard</v>
      </c>
      <c r="D108" t="str">
        <f>_xlfn.XLOOKUP(C108,product!$B$2:$B$20,product!$C$2:$C$20)</f>
        <v>Input Device</v>
      </c>
      <c r="E108">
        <v>279</v>
      </c>
      <c r="F108">
        <v>3633</v>
      </c>
      <c r="G108">
        <v>1013607</v>
      </c>
      <c r="H108" s="12">
        <v>44668</v>
      </c>
      <c r="I108" t="s">
        <v>250</v>
      </c>
      <c r="J108" t="s">
        <v>234</v>
      </c>
      <c r="K108" t="s">
        <v>239</v>
      </c>
      <c r="L108" t="s">
        <v>240</v>
      </c>
    </row>
    <row r="109" spans="1:12">
      <c r="A109">
        <v>235</v>
      </c>
      <c r="B109" t="s">
        <v>189</v>
      </c>
      <c r="C109" t="str">
        <f>_xlfn.XLOOKUP(B109,product!$A$2:$A$20,product!$B$2:$B$20)</f>
        <v>Monitor</v>
      </c>
      <c r="D109" t="str">
        <f>_xlfn.XLOOKUP(C109,product!$B$2:$B$20,product!$C$2:$C$20)</f>
        <v>Display</v>
      </c>
      <c r="E109">
        <v>248</v>
      </c>
      <c r="F109">
        <v>4830</v>
      </c>
      <c r="G109">
        <v>1197840</v>
      </c>
      <c r="H109" s="12">
        <v>44669</v>
      </c>
      <c r="I109" t="s">
        <v>64</v>
      </c>
      <c r="J109" t="s">
        <v>238</v>
      </c>
      <c r="K109" t="s">
        <v>235</v>
      </c>
      <c r="L109" t="s">
        <v>242</v>
      </c>
    </row>
    <row r="110" spans="1:12">
      <c r="A110">
        <v>246</v>
      </c>
      <c r="B110" t="s">
        <v>183</v>
      </c>
      <c r="C110" t="str">
        <f>_xlfn.XLOOKUP(B110,product!$A$2:$A$20,product!$B$2:$B$20)</f>
        <v>Mouse</v>
      </c>
      <c r="D110" t="str">
        <f>_xlfn.XLOOKUP(C110,product!$B$2:$B$20,product!$C$2:$C$20)</f>
        <v>Input Device</v>
      </c>
      <c r="E110">
        <v>234</v>
      </c>
      <c r="F110">
        <v>2016</v>
      </c>
      <c r="G110">
        <v>471744</v>
      </c>
      <c r="H110" s="12">
        <v>44670</v>
      </c>
      <c r="I110" t="s">
        <v>254</v>
      </c>
      <c r="J110" t="s">
        <v>234</v>
      </c>
      <c r="K110" t="s">
        <v>248</v>
      </c>
      <c r="L110" t="s">
        <v>244</v>
      </c>
    </row>
    <row r="111" spans="1:12">
      <c r="A111">
        <v>443</v>
      </c>
      <c r="B111" t="s">
        <v>208</v>
      </c>
      <c r="C111" t="str">
        <f>_xlfn.XLOOKUP(B111,product!$A$2:$A$20,product!$B$2:$B$20)</f>
        <v>Headset</v>
      </c>
      <c r="D111" t="str">
        <f>_xlfn.XLOOKUP(C111,product!$B$2:$B$20,product!$C$2:$C$20)</f>
        <v>Audio</v>
      </c>
      <c r="E111">
        <v>120</v>
      </c>
      <c r="F111">
        <v>4984</v>
      </c>
      <c r="G111">
        <v>598080</v>
      </c>
      <c r="H111" s="12">
        <v>44671</v>
      </c>
      <c r="I111" t="s">
        <v>256</v>
      </c>
      <c r="J111" t="s">
        <v>234</v>
      </c>
      <c r="K111" t="s">
        <v>239</v>
      </c>
      <c r="L111" t="s">
        <v>246</v>
      </c>
    </row>
    <row r="112" spans="1:12">
      <c r="A112">
        <v>207</v>
      </c>
      <c r="B112" t="s">
        <v>184</v>
      </c>
      <c r="C112" t="str">
        <f>_xlfn.XLOOKUP(B112,product!$A$2:$A$20,product!$B$2:$B$20)</f>
        <v>Hard Drive</v>
      </c>
      <c r="D112" t="str">
        <f>_xlfn.XLOOKUP(C112,product!$B$2:$B$20,product!$C$2:$C$20)</f>
        <v>Storage</v>
      </c>
      <c r="E112">
        <v>255</v>
      </c>
      <c r="F112">
        <v>3090</v>
      </c>
      <c r="G112">
        <v>787950</v>
      </c>
      <c r="H112" s="12">
        <v>44672</v>
      </c>
      <c r="I112" t="s">
        <v>258</v>
      </c>
      <c r="J112" t="s">
        <v>238</v>
      </c>
      <c r="K112" t="s">
        <v>248</v>
      </c>
      <c r="L112" t="s">
        <v>249</v>
      </c>
    </row>
    <row r="113" spans="1:12">
      <c r="A113">
        <v>246</v>
      </c>
      <c r="B113" t="s">
        <v>189</v>
      </c>
      <c r="C113" t="str">
        <f>_xlfn.XLOOKUP(B113,product!$A$2:$A$20,product!$B$2:$B$20)</f>
        <v>Monitor</v>
      </c>
      <c r="D113" t="str">
        <f>_xlfn.XLOOKUP(C113,product!$B$2:$B$20,product!$C$2:$C$20)</f>
        <v>Display</v>
      </c>
      <c r="E113">
        <v>242</v>
      </c>
      <c r="F113">
        <v>2242</v>
      </c>
      <c r="G113">
        <v>542564</v>
      </c>
      <c r="H113" s="12">
        <v>44673</v>
      </c>
      <c r="I113" t="s">
        <v>260</v>
      </c>
      <c r="J113" t="s">
        <v>241</v>
      </c>
      <c r="K113" t="s">
        <v>235</v>
      </c>
      <c r="L113" t="s">
        <v>251</v>
      </c>
    </row>
    <row r="114" spans="1:12">
      <c r="A114">
        <v>481</v>
      </c>
      <c r="B114" t="s">
        <v>215</v>
      </c>
      <c r="C114" t="str">
        <f>_xlfn.XLOOKUP(B114,product!$A$2:$A$20,product!$B$2:$B$20)</f>
        <v>Speakers</v>
      </c>
      <c r="D114" t="str">
        <f>_xlfn.XLOOKUP(C114,product!$B$2:$B$20,product!$C$2:$C$20)</f>
        <v>Audio</v>
      </c>
      <c r="E114">
        <v>278</v>
      </c>
      <c r="F114">
        <v>4493</v>
      </c>
      <c r="G114">
        <v>1249054</v>
      </c>
      <c r="H114" s="12">
        <v>44674</v>
      </c>
      <c r="I114" t="s">
        <v>233</v>
      </c>
      <c r="J114" t="s">
        <v>234</v>
      </c>
      <c r="K114" t="s">
        <v>248</v>
      </c>
      <c r="L114" t="s">
        <v>252</v>
      </c>
    </row>
    <row r="115" spans="1:12">
      <c r="A115">
        <v>358</v>
      </c>
      <c r="B115" t="s">
        <v>213</v>
      </c>
      <c r="C115" t="str">
        <f>_xlfn.XLOOKUP(B115,product!$A$2:$A$20,product!$B$2:$B$20)</f>
        <v>Scanner</v>
      </c>
      <c r="D115" t="str">
        <f>_xlfn.XLOOKUP(C115,product!$B$2:$B$20,product!$C$2:$C$20)</f>
        <v>Peripherals</v>
      </c>
      <c r="E115">
        <v>161</v>
      </c>
      <c r="F115">
        <v>3285</v>
      </c>
      <c r="G115">
        <v>528885</v>
      </c>
      <c r="H115" s="12">
        <v>44675</v>
      </c>
      <c r="I115" t="s">
        <v>237</v>
      </c>
      <c r="J115" t="s">
        <v>238</v>
      </c>
      <c r="K115" t="s">
        <v>235</v>
      </c>
      <c r="L115" t="s">
        <v>253</v>
      </c>
    </row>
    <row r="116" spans="1:12">
      <c r="A116">
        <v>434</v>
      </c>
      <c r="B116" t="s">
        <v>215</v>
      </c>
      <c r="C116" t="str">
        <f>_xlfn.XLOOKUP(B116,product!$A$2:$A$20,product!$B$2:$B$20)</f>
        <v>Speakers</v>
      </c>
      <c r="D116" t="str">
        <f>_xlfn.XLOOKUP(C116,product!$B$2:$B$20,product!$C$2:$C$20)</f>
        <v>Audio</v>
      </c>
      <c r="E116">
        <v>102</v>
      </c>
      <c r="F116">
        <v>2690</v>
      </c>
      <c r="G116">
        <v>274380</v>
      </c>
      <c r="H116" s="12">
        <v>44676</v>
      </c>
      <c r="I116" t="s">
        <v>90</v>
      </c>
      <c r="J116" t="s">
        <v>238</v>
      </c>
      <c r="K116" t="s">
        <v>248</v>
      </c>
      <c r="L116" t="s">
        <v>255</v>
      </c>
    </row>
    <row r="117" spans="1:12">
      <c r="A117">
        <v>297</v>
      </c>
      <c r="B117" t="s">
        <v>191</v>
      </c>
      <c r="C117" t="str">
        <f>_xlfn.XLOOKUP(B117,product!$A$2:$A$20,product!$B$2:$B$20)</f>
        <v>Graphics Card</v>
      </c>
      <c r="D117" t="str">
        <f>_xlfn.XLOOKUP(C117,product!$B$2:$B$20,product!$C$2:$C$20)</f>
        <v>Internal Hardware</v>
      </c>
      <c r="E117">
        <v>215</v>
      </c>
      <c r="F117">
        <v>3017</v>
      </c>
      <c r="G117">
        <v>648655</v>
      </c>
      <c r="H117" s="12">
        <v>44677</v>
      </c>
      <c r="I117" t="s">
        <v>243</v>
      </c>
      <c r="J117" t="s">
        <v>234</v>
      </c>
      <c r="K117" t="s">
        <v>235</v>
      </c>
      <c r="L117" t="s">
        <v>257</v>
      </c>
    </row>
    <row r="118" spans="1:12">
      <c r="A118">
        <v>291</v>
      </c>
      <c r="B118" t="s">
        <v>211</v>
      </c>
      <c r="C118" t="str">
        <f>_xlfn.XLOOKUP(B118,product!$A$2:$A$20,product!$B$2:$B$20)</f>
        <v>Printer</v>
      </c>
      <c r="D118" t="str">
        <f>_xlfn.XLOOKUP(C118,product!$B$2:$B$20,product!$C$2:$C$20)</f>
        <v>Peripherals</v>
      </c>
      <c r="E118">
        <v>219</v>
      </c>
      <c r="F118">
        <v>3955</v>
      </c>
      <c r="G118">
        <v>866145</v>
      </c>
      <c r="H118" s="12">
        <v>44678</v>
      </c>
      <c r="I118" t="s">
        <v>245</v>
      </c>
      <c r="J118" t="s">
        <v>238</v>
      </c>
      <c r="K118" t="s">
        <v>248</v>
      </c>
      <c r="L118" t="s">
        <v>259</v>
      </c>
    </row>
    <row r="119" spans="1:12">
      <c r="A119">
        <v>209</v>
      </c>
      <c r="B119" t="s">
        <v>220</v>
      </c>
      <c r="C119" t="str">
        <f>_xlfn.XLOOKUP(B119,product!$A$2:$A$20,product!$B$2:$B$20)</f>
        <v>Ethernet Cable</v>
      </c>
      <c r="D119" t="str">
        <f>_xlfn.XLOOKUP(C119,product!$B$2:$B$20,product!$C$2:$C$20)</f>
        <v>Cables &amp; Connectors</v>
      </c>
      <c r="E119">
        <v>156</v>
      </c>
      <c r="F119">
        <v>2041</v>
      </c>
      <c r="G119">
        <v>318396</v>
      </c>
      <c r="H119" s="12">
        <v>44679</v>
      </c>
      <c r="I119" t="s">
        <v>247</v>
      </c>
      <c r="J119" t="s">
        <v>234</v>
      </c>
      <c r="K119" t="s">
        <v>248</v>
      </c>
      <c r="L119" t="s">
        <v>261</v>
      </c>
    </row>
    <row r="120" spans="1:12">
      <c r="A120">
        <v>333</v>
      </c>
      <c r="B120" t="s">
        <v>220</v>
      </c>
      <c r="C120" t="str">
        <f>_xlfn.XLOOKUP(B120,product!$A$2:$A$20,product!$B$2:$B$20)</f>
        <v>Ethernet Cable</v>
      </c>
      <c r="D120" t="str">
        <f>_xlfn.XLOOKUP(C120,product!$B$2:$B$20,product!$C$2:$C$20)</f>
        <v>Cables &amp; Connectors</v>
      </c>
      <c r="E120">
        <v>212</v>
      </c>
      <c r="F120">
        <v>4352</v>
      </c>
      <c r="G120">
        <v>922624</v>
      </c>
      <c r="H120" s="12">
        <v>44680</v>
      </c>
      <c r="I120" t="s">
        <v>250</v>
      </c>
      <c r="J120" t="s">
        <v>238</v>
      </c>
      <c r="K120" t="s">
        <v>248</v>
      </c>
      <c r="L120" t="s">
        <v>262</v>
      </c>
    </row>
    <row r="121" spans="1:12">
      <c r="A121">
        <v>375</v>
      </c>
      <c r="B121" t="s">
        <v>215</v>
      </c>
      <c r="C121" t="str">
        <f>_xlfn.XLOOKUP(B121,product!$A$2:$A$20,product!$B$2:$B$20)</f>
        <v>Speakers</v>
      </c>
      <c r="D121" t="str">
        <f>_xlfn.XLOOKUP(C121,product!$B$2:$B$20,product!$C$2:$C$20)</f>
        <v>Audio</v>
      </c>
      <c r="E121">
        <v>262</v>
      </c>
      <c r="F121">
        <v>3333</v>
      </c>
      <c r="G121">
        <v>873246</v>
      </c>
      <c r="H121" s="12">
        <v>44681</v>
      </c>
      <c r="I121" t="s">
        <v>64</v>
      </c>
      <c r="J121" t="s">
        <v>238</v>
      </c>
      <c r="K121" t="s">
        <v>235</v>
      </c>
      <c r="L121" t="s">
        <v>263</v>
      </c>
    </row>
    <row r="122" spans="1:12">
      <c r="A122">
        <v>341</v>
      </c>
      <c r="B122" t="s">
        <v>222</v>
      </c>
      <c r="C122" t="str">
        <f>_xlfn.XLOOKUP(B122,product!$A$2:$A$20,product!$B$2:$B$20)</f>
        <v>Laptop Bag</v>
      </c>
      <c r="D122" t="str">
        <f>_xlfn.XLOOKUP(C122,product!$B$2:$B$20,product!$C$2:$C$20)</f>
        <v>Laptop Accessories</v>
      </c>
      <c r="E122">
        <v>126</v>
      </c>
      <c r="F122">
        <v>2202</v>
      </c>
      <c r="G122">
        <v>277452</v>
      </c>
      <c r="H122" s="12">
        <v>44682</v>
      </c>
      <c r="I122" t="s">
        <v>233</v>
      </c>
      <c r="J122" t="s">
        <v>238</v>
      </c>
      <c r="K122" t="s">
        <v>248</v>
      </c>
      <c r="L122" t="s">
        <v>236</v>
      </c>
    </row>
    <row r="123" spans="1:12">
      <c r="A123">
        <v>371</v>
      </c>
      <c r="B123" t="s">
        <v>206</v>
      </c>
      <c r="C123" t="str">
        <f>_xlfn.XLOOKUP(B123,product!$A$2:$A$20,product!$B$2:$B$20)</f>
        <v>Cooling Pad</v>
      </c>
      <c r="D123" t="str">
        <f>_xlfn.XLOOKUP(C123,product!$B$2:$B$20,product!$C$2:$C$20)</f>
        <v>Laptop Accessories</v>
      </c>
      <c r="E123">
        <v>211</v>
      </c>
      <c r="F123">
        <v>2017</v>
      </c>
      <c r="G123">
        <v>425587</v>
      </c>
      <c r="H123" s="12">
        <v>44683</v>
      </c>
      <c r="I123" t="s">
        <v>237</v>
      </c>
      <c r="J123" t="s">
        <v>241</v>
      </c>
      <c r="K123" t="s">
        <v>239</v>
      </c>
      <c r="L123" t="s">
        <v>240</v>
      </c>
    </row>
    <row r="124" spans="1:12">
      <c r="A124">
        <v>391</v>
      </c>
      <c r="B124" t="s">
        <v>201</v>
      </c>
      <c r="C124" t="str">
        <f>_xlfn.XLOOKUP(B124,product!$A$2:$A$20,product!$B$2:$B$20)</f>
        <v>Webcam</v>
      </c>
      <c r="D124" t="str">
        <f>_xlfn.XLOOKUP(C124,product!$B$2:$B$20,product!$C$2:$C$20)</f>
        <v>Peripherals</v>
      </c>
      <c r="E124">
        <v>105</v>
      </c>
      <c r="F124">
        <v>2917</v>
      </c>
      <c r="G124">
        <v>306285</v>
      </c>
      <c r="H124" s="12">
        <v>44684</v>
      </c>
      <c r="I124" t="s">
        <v>90</v>
      </c>
      <c r="J124" t="s">
        <v>234</v>
      </c>
      <c r="K124" t="s">
        <v>239</v>
      </c>
      <c r="L124" t="s">
        <v>242</v>
      </c>
    </row>
    <row r="125" spans="1:12">
      <c r="A125">
        <v>223</v>
      </c>
      <c r="B125" t="s">
        <v>215</v>
      </c>
      <c r="C125" t="str">
        <f>_xlfn.XLOOKUP(B125,product!$A$2:$A$20,product!$B$2:$B$20)</f>
        <v>Speakers</v>
      </c>
      <c r="D125" t="str">
        <f>_xlfn.XLOOKUP(C125,product!$B$2:$B$20,product!$C$2:$C$20)</f>
        <v>Audio</v>
      </c>
      <c r="E125">
        <v>108</v>
      </c>
      <c r="F125">
        <v>4636</v>
      </c>
      <c r="G125">
        <v>500688</v>
      </c>
      <c r="H125" s="12">
        <v>44685</v>
      </c>
      <c r="I125" t="s">
        <v>243</v>
      </c>
      <c r="J125" t="s">
        <v>241</v>
      </c>
      <c r="K125" t="s">
        <v>239</v>
      </c>
      <c r="L125" t="s">
        <v>244</v>
      </c>
    </row>
    <row r="126" spans="1:12">
      <c r="A126">
        <v>477</v>
      </c>
      <c r="B126" t="s">
        <v>208</v>
      </c>
      <c r="C126" t="str">
        <f>_xlfn.XLOOKUP(B126,product!$A$2:$A$20,product!$B$2:$B$20)</f>
        <v>Headset</v>
      </c>
      <c r="D126" t="str">
        <f>_xlfn.XLOOKUP(C126,product!$B$2:$B$20,product!$C$2:$C$20)</f>
        <v>Audio</v>
      </c>
      <c r="E126">
        <v>102</v>
      </c>
      <c r="F126">
        <v>4835</v>
      </c>
      <c r="G126">
        <v>493170</v>
      </c>
      <c r="H126" s="12">
        <v>44686</v>
      </c>
      <c r="I126" t="s">
        <v>245</v>
      </c>
      <c r="J126" t="s">
        <v>234</v>
      </c>
      <c r="K126" t="s">
        <v>235</v>
      </c>
      <c r="L126" t="s">
        <v>246</v>
      </c>
    </row>
    <row r="127" spans="1:12">
      <c r="A127">
        <v>282</v>
      </c>
      <c r="B127" t="s">
        <v>194</v>
      </c>
      <c r="C127" t="str">
        <f>_xlfn.XLOOKUP(B127,product!$A$2:$A$20,product!$B$2:$B$20)</f>
        <v>RAM Module</v>
      </c>
      <c r="D127" t="str">
        <f>_xlfn.XLOOKUP(C127,product!$B$2:$B$20,product!$C$2:$C$20)</f>
        <v>Internal Hardware</v>
      </c>
      <c r="E127">
        <v>199</v>
      </c>
      <c r="F127">
        <v>3071</v>
      </c>
      <c r="G127">
        <v>611129</v>
      </c>
      <c r="H127" s="12">
        <v>44687</v>
      </c>
      <c r="I127" t="s">
        <v>247</v>
      </c>
      <c r="J127" t="s">
        <v>234</v>
      </c>
      <c r="K127" t="s">
        <v>235</v>
      </c>
      <c r="L127" t="s">
        <v>249</v>
      </c>
    </row>
    <row r="128" spans="1:12">
      <c r="A128">
        <v>447</v>
      </c>
      <c r="B128" t="s">
        <v>196</v>
      </c>
      <c r="C128" t="str">
        <f>_xlfn.XLOOKUP(B128,product!$A$2:$A$20,product!$B$2:$B$20)</f>
        <v>SSD</v>
      </c>
      <c r="D128" t="str">
        <f>_xlfn.XLOOKUP(C128,product!$B$2:$B$20,product!$C$2:$C$20)</f>
        <v>Internal Hardware</v>
      </c>
      <c r="E128">
        <v>289</v>
      </c>
      <c r="F128">
        <v>4442</v>
      </c>
      <c r="G128">
        <v>1283738</v>
      </c>
      <c r="H128" s="12">
        <v>44688</v>
      </c>
      <c r="I128" t="s">
        <v>250</v>
      </c>
      <c r="J128" t="s">
        <v>234</v>
      </c>
      <c r="K128" t="s">
        <v>248</v>
      </c>
      <c r="L128" t="s">
        <v>251</v>
      </c>
    </row>
    <row r="129" spans="1:12">
      <c r="A129">
        <v>253</v>
      </c>
      <c r="B129" t="s">
        <v>220</v>
      </c>
      <c r="C129" t="str">
        <f>_xlfn.XLOOKUP(B129,product!$A$2:$A$20,product!$B$2:$B$20)</f>
        <v>Ethernet Cable</v>
      </c>
      <c r="D129" t="str">
        <f>_xlfn.XLOOKUP(C129,product!$B$2:$B$20,product!$C$2:$C$20)</f>
        <v>Cables &amp; Connectors</v>
      </c>
      <c r="E129">
        <v>108</v>
      </c>
      <c r="F129">
        <v>4809</v>
      </c>
      <c r="G129">
        <v>519372</v>
      </c>
      <c r="H129" s="12">
        <v>44689</v>
      </c>
      <c r="I129" t="s">
        <v>64</v>
      </c>
      <c r="J129" t="s">
        <v>241</v>
      </c>
      <c r="K129" t="s">
        <v>235</v>
      </c>
      <c r="L129" t="s">
        <v>252</v>
      </c>
    </row>
    <row r="130" spans="1:12">
      <c r="A130">
        <v>451</v>
      </c>
      <c r="B130" t="s">
        <v>208</v>
      </c>
      <c r="C130" t="str">
        <f>_xlfn.XLOOKUP(B130,product!$A$2:$A$20,product!$B$2:$B$20)</f>
        <v>Headset</v>
      </c>
      <c r="D130" t="str">
        <f>_xlfn.XLOOKUP(C130,product!$B$2:$B$20,product!$C$2:$C$20)</f>
        <v>Audio</v>
      </c>
      <c r="E130">
        <v>183</v>
      </c>
      <c r="F130">
        <v>4956</v>
      </c>
      <c r="G130">
        <v>906948</v>
      </c>
      <c r="H130" s="12">
        <v>44690</v>
      </c>
      <c r="I130" t="s">
        <v>59</v>
      </c>
      <c r="J130" t="s">
        <v>234</v>
      </c>
      <c r="K130" t="s">
        <v>239</v>
      </c>
      <c r="L130" t="s">
        <v>253</v>
      </c>
    </row>
    <row r="131" spans="1:12">
      <c r="A131">
        <v>218</v>
      </c>
      <c r="B131" t="s">
        <v>211</v>
      </c>
      <c r="C131" t="str">
        <f>_xlfn.XLOOKUP(B131,product!$A$2:$A$20,product!$B$2:$B$20)</f>
        <v>Printer</v>
      </c>
      <c r="D131" t="str">
        <f>_xlfn.XLOOKUP(C131,product!$B$2:$B$20,product!$C$2:$C$20)</f>
        <v>Peripherals</v>
      </c>
      <c r="E131">
        <v>175</v>
      </c>
      <c r="F131">
        <v>2056</v>
      </c>
      <c r="G131">
        <v>359800</v>
      </c>
      <c r="H131" s="12">
        <v>44691</v>
      </c>
      <c r="I131" t="s">
        <v>254</v>
      </c>
      <c r="J131" t="s">
        <v>238</v>
      </c>
      <c r="K131" t="s">
        <v>235</v>
      </c>
      <c r="L131" t="s">
        <v>255</v>
      </c>
    </row>
    <row r="132" spans="1:12">
      <c r="A132">
        <v>398</v>
      </c>
      <c r="B132" t="s">
        <v>220</v>
      </c>
      <c r="C132" t="str">
        <f>_xlfn.XLOOKUP(B132,product!$A$2:$A$20,product!$B$2:$B$20)</f>
        <v>Ethernet Cable</v>
      </c>
      <c r="D132" t="str">
        <f>_xlfn.XLOOKUP(C132,product!$B$2:$B$20,product!$C$2:$C$20)</f>
        <v>Cables &amp; Connectors</v>
      </c>
      <c r="E132">
        <v>147</v>
      </c>
      <c r="F132">
        <v>3681</v>
      </c>
      <c r="G132">
        <v>541107</v>
      </c>
      <c r="H132" s="12">
        <v>44692</v>
      </c>
      <c r="I132" t="s">
        <v>256</v>
      </c>
      <c r="J132" t="s">
        <v>241</v>
      </c>
      <c r="K132" t="s">
        <v>248</v>
      </c>
      <c r="L132" t="s">
        <v>257</v>
      </c>
    </row>
    <row r="133" spans="1:12">
      <c r="A133">
        <v>227</v>
      </c>
      <c r="B133" t="s">
        <v>198</v>
      </c>
      <c r="C133" t="str">
        <f>_xlfn.XLOOKUP(B133,product!$A$2:$A$20,product!$B$2:$B$20)</f>
        <v>HDMI Cable</v>
      </c>
      <c r="D133" t="str">
        <f>_xlfn.XLOOKUP(C133,product!$B$2:$B$20,product!$C$2:$C$20)</f>
        <v>Cables &amp; Connectors</v>
      </c>
      <c r="E133">
        <v>128</v>
      </c>
      <c r="F133">
        <v>3545</v>
      </c>
      <c r="G133">
        <v>453760</v>
      </c>
      <c r="H133" s="12">
        <v>44693</v>
      </c>
      <c r="I133" t="s">
        <v>258</v>
      </c>
      <c r="J133" t="s">
        <v>241</v>
      </c>
      <c r="K133" t="s">
        <v>239</v>
      </c>
      <c r="L133" t="s">
        <v>259</v>
      </c>
    </row>
    <row r="134" spans="1:12">
      <c r="A134">
        <v>291</v>
      </c>
      <c r="B134" t="s">
        <v>184</v>
      </c>
      <c r="C134" t="str">
        <f>_xlfn.XLOOKUP(B134,product!$A$2:$A$20,product!$B$2:$B$20)</f>
        <v>Hard Drive</v>
      </c>
      <c r="D134" t="str">
        <f>_xlfn.XLOOKUP(C134,product!$B$2:$B$20,product!$C$2:$C$20)</f>
        <v>Storage</v>
      </c>
      <c r="E134">
        <v>276</v>
      </c>
      <c r="F134">
        <v>3219</v>
      </c>
      <c r="G134">
        <v>888444</v>
      </c>
      <c r="H134" s="12">
        <v>44694</v>
      </c>
      <c r="I134" t="s">
        <v>260</v>
      </c>
      <c r="J134" t="s">
        <v>238</v>
      </c>
      <c r="K134" t="s">
        <v>248</v>
      </c>
      <c r="L134" t="s">
        <v>261</v>
      </c>
    </row>
    <row r="135" spans="1:12">
      <c r="A135">
        <v>352</v>
      </c>
      <c r="B135" t="s">
        <v>189</v>
      </c>
      <c r="C135" t="str">
        <f>_xlfn.XLOOKUP(B135,product!$A$2:$A$20,product!$B$2:$B$20)</f>
        <v>Monitor</v>
      </c>
      <c r="D135" t="str">
        <f>_xlfn.XLOOKUP(C135,product!$B$2:$B$20,product!$C$2:$C$20)</f>
        <v>Display</v>
      </c>
      <c r="E135">
        <v>247</v>
      </c>
      <c r="F135">
        <v>3566</v>
      </c>
      <c r="G135">
        <v>880802</v>
      </c>
      <c r="H135" s="12">
        <v>44695</v>
      </c>
      <c r="I135" t="s">
        <v>233</v>
      </c>
      <c r="J135" t="s">
        <v>234</v>
      </c>
      <c r="K135" t="s">
        <v>239</v>
      </c>
      <c r="L135" t="s">
        <v>262</v>
      </c>
    </row>
    <row r="136" spans="1:12">
      <c r="A136">
        <v>327</v>
      </c>
      <c r="B136" t="s">
        <v>194</v>
      </c>
      <c r="C136" t="str">
        <f>_xlfn.XLOOKUP(B136,product!$A$2:$A$20,product!$B$2:$B$20)</f>
        <v>RAM Module</v>
      </c>
      <c r="D136" t="str">
        <f>_xlfn.XLOOKUP(C136,product!$B$2:$B$20,product!$C$2:$C$20)</f>
        <v>Internal Hardware</v>
      </c>
      <c r="E136">
        <v>205</v>
      </c>
      <c r="F136">
        <v>3711</v>
      </c>
      <c r="G136">
        <v>760755</v>
      </c>
      <c r="H136" s="12">
        <v>44696</v>
      </c>
      <c r="I136" t="s">
        <v>237</v>
      </c>
      <c r="J136" t="s">
        <v>241</v>
      </c>
      <c r="K136" t="s">
        <v>239</v>
      </c>
      <c r="L136" t="s">
        <v>263</v>
      </c>
    </row>
    <row r="137" spans="1:12">
      <c r="A137">
        <v>288</v>
      </c>
      <c r="B137" t="s">
        <v>211</v>
      </c>
      <c r="C137" t="str">
        <f>_xlfn.XLOOKUP(B137,product!$A$2:$A$20,product!$B$2:$B$20)</f>
        <v>Printer</v>
      </c>
      <c r="D137" t="str">
        <f>_xlfn.XLOOKUP(C137,product!$B$2:$B$20,product!$C$2:$C$20)</f>
        <v>Peripherals</v>
      </c>
      <c r="E137">
        <v>200</v>
      </c>
      <c r="F137">
        <v>2009</v>
      </c>
      <c r="G137">
        <v>401800</v>
      </c>
      <c r="H137" s="12">
        <v>44697</v>
      </c>
      <c r="I137" t="s">
        <v>90</v>
      </c>
      <c r="J137" t="s">
        <v>241</v>
      </c>
      <c r="K137" t="s">
        <v>248</v>
      </c>
      <c r="L137" t="s">
        <v>236</v>
      </c>
    </row>
    <row r="138" spans="1:12">
      <c r="A138">
        <v>374</v>
      </c>
      <c r="B138" t="s">
        <v>194</v>
      </c>
      <c r="C138" t="str">
        <f>_xlfn.XLOOKUP(B138,product!$A$2:$A$20,product!$B$2:$B$20)</f>
        <v>RAM Module</v>
      </c>
      <c r="D138" t="str">
        <f>_xlfn.XLOOKUP(C138,product!$B$2:$B$20,product!$C$2:$C$20)</f>
        <v>Internal Hardware</v>
      </c>
      <c r="E138">
        <v>103</v>
      </c>
      <c r="F138">
        <v>2978</v>
      </c>
      <c r="G138">
        <v>306734</v>
      </c>
      <c r="H138" s="12">
        <v>44698</v>
      </c>
      <c r="I138" t="s">
        <v>243</v>
      </c>
      <c r="J138" t="s">
        <v>234</v>
      </c>
      <c r="K138" t="s">
        <v>248</v>
      </c>
      <c r="L138" t="s">
        <v>240</v>
      </c>
    </row>
    <row r="139" spans="1:12">
      <c r="A139">
        <v>377</v>
      </c>
      <c r="B139" t="s">
        <v>206</v>
      </c>
      <c r="C139" t="str">
        <f>_xlfn.XLOOKUP(B139,product!$A$2:$A$20,product!$B$2:$B$20)</f>
        <v>Cooling Pad</v>
      </c>
      <c r="D139" t="str">
        <f>_xlfn.XLOOKUP(C139,product!$B$2:$B$20,product!$C$2:$C$20)</f>
        <v>Laptop Accessories</v>
      </c>
      <c r="E139">
        <v>286</v>
      </c>
      <c r="F139">
        <v>4003</v>
      </c>
      <c r="G139">
        <v>1144858</v>
      </c>
      <c r="H139" s="12">
        <v>44699</v>
      </c>
      <c r="I139" t="s">
        <v>245</v>
      </c>
      <c r="J139" t="s">
        <v>234</v>
      </c>
      <c r="K139" t="s">
        <v>235</v>
      </c>
      <c r="L139" t="s">
        <v>242</v>
      </c>
    </row>
    <row r="140" spans="1:12">
      <c r="A140">
        <v>310</v>
      </c>
      <c r="B140" t="s">
        <v>187</v>
      </c>
      <c r="C140" t="str">
        <f>_xlfn.XLOOKUP(B140,product!$A$2:$A$20,product!$B$2:$B$20)</f>
        <v>USB Flash Drive</v>
      </c>
      <c r="D140" t="str">
        <f>_xlfn.XLOOKUP(C140,product!$B$2:$B$20,product!$C$2:$C$20)</f>
        <v>Storage</v>
      </c>
      <c r="E140">
        <v>180</v>
      </c>
      <c r="F140">
        <v>3047</v>
      </c>
      <c r="G140">
        <v>548460</v>
      </c>
      <c r="H140" s="12">
        <v>44700</v>
      </c>
      <c r="I140" t="s">
        <v>247</v>
      </c>
      <c r="J140" t="s">
        <v>234</v>
      </c>
      <c r="K140" t="s">
        <v>248</v>
      </c>
      <c r="L140" t="s">
        <v>244</v>
      </c>
    </row>
    <row r="141" spans="1:12">
      <c r="A141">
        <v>244</v>
      </c>
      <c r="B141" t="s">
        <v>213</v>
      </c>
      <c r="C141" t="str">
        <f>_xlfn.XLOOKUP(B141,product!$A$2:$A$20,product!$B$2:$B$20)</f>
        <v>Scanner</v>
      </c>
      <c r="D141" t="str">
        <f>_xlfn.XLOOKUP(C141,product!$B$2:$B$20,product!$C$2:$C$20)</f>
        <v>Peripherals</v>
      </c>
      <c r="E141">
        <v>101</v>
      </c>
      <c r="F141">
        <v>3892</v>
      </c>
      <c r="G141">
        <v>393092</v>
      </c>
      <c r="H141" s="12">
        <v>44701</v>
      </c>
      <c r="I141" t="s">
        <v>250</v>
      </c>
      <c r="J141" t="s">
        <v>241</v>
      </c>
      <c r="K141" t="s">
        <v>235</v>
      </c>
      <c r="L141" t="s">
        <v>246</v>
      </c>
    </row>
    <row r="142" spans="1:12">
      <c r="A142">
        <v>258</v>
      </c>
      <c r="B142" t="s">
        <v>220</v>
      </c>
      <c r="C142" t="str">
        <f>_xlfn.XLOOKUP(B142,product!$A$2:$A$20,product!$B$2:$B$20)</f>
        <v>Ethernet Cable</v>
      </c>
      <c r="D142" t="str">
        <f>_xlfn.XLOOKUP(C142,product!$B$2:$B$20,product!$C$2:$C$20)</f>
        <v>Cables &amp; Connectors</v>
      </c>
      <c r="E142">
        <v>253</v>
      </c>
      <c r="F142">
        <v>2462</v>
      </c>
      <c r="G142">
        <v>622886</v>
      </c>
      <c r="H142" s="12">
        <v>44702</v>
      </c>
      <c r="I142" t="s">
        <v>64</v>
      </c>
      <c r="J142" t="s">
        <v>234</v>
      </c>
      <c r="K142" t="s">
        <v>239</v>
      </c>
      <c r="L142" t="s">
        <v>249</v>
      </c>
    </row>
    <row r="143" spans="1:12">
      <c r="A143">
        <v>245</v>
      </c>
      <c r="B143" t="s">
        <v>201</v>
      </c>
      <c r="C143" t="str">
        <f>_xlfn.XLOOKUP(B143,product!$A$2:$A$20,product!$B$2:$B$20)</f>
        <v>Webcam</v>
      </c>
      <c r="D143" t="str">
        <f>_xlfn.XLOOKUP(C143,product!$B$2:$B$20,product!$C$2:$C$20)</f>
        <v>Peripherals</v>
      </c>
      <c r="E143">
        <v>281</v>
      </c>
      <c r="F143">
        <v>2998</v>
      </c>
      <c r="G143">
        <v>842438</v>
      </c>
      <c r="H143" s="12">
        <v>44703</v>
      </c>
      <c r="I143" t="s">
        <v>254</v>
      </c>
      <c r="J143" t="s">
        <v>241</v>
      </c>
      <c r="K143" t="s">
        <v>248</v>
      </c>
      <c r="L143" t="s">
        <v>251</v>
      </c>
    </row>
    <row r="144" spans="1:12">
      <c r="A144">
        <v>207</v>
      </c>
      <c r="B144" t="s">
        <v>187</v>
      </c>
      <c r="C144" t="str">
        <f>_xlfn.XLOOKUP(B144,product!$A$2:$A$20,product!$B$2:$B$20)</f>
        <v>USB Flash Drive</v>
      </c>
      <c r="D144" t="str">
        <f>_xlfn.XLOOKUP(C144,product!$B$2:$B$20,product!$C$2:$C$20)</f>
        <v>Storage</v>
      </c>
      <c r="E144">
        <v>233</v>
      </c>
      <c r="F144">
        <v>2361</v>
      </c>
      <c r="G144">
        <v>550113</v>
      </c>
      <c r="H144" s="12">
        <v>44704</v>
      </c>
      <c r="I144" t="s">
        <v>256</v>
      </c>
      <c r="J144" t="s">
        <v>238</v>
      </c>
      <c r="K144" t="s">
        <v>248</v>
      </c>
      <c r="L144" t="s">
        <v>252</v>
      </c>
    </row>
    <row r="145" spans="1:12">
      <c r="A145">
        <v>243</v>
      </c>
      <c r="B145" t="s">
        <v>203</v>
      </c>
      <c r="C145" t="str">
        <f>_xlfn.XLOOKUP(B145,product!$A$2:$A$20,product!$B$2:$B$20)</f>
        <v>Laptop Stand</v>
      </c>
      <c r="D145" t="str">
        <f>_xlfn.XLOOKUP(C145,product!$B$2:$B$20,product!$C$2:$C$20)</f>
        <v>Laptop Accessories</v>
      </c>
      <c r="E145">
        <v>300</v>
      </c>
      <c r="F145">
        <v>2692</v>
      </c>
      <c r="G145">
        <v>807600</v>
      </c>
      <c r="H145" s="12">
        <v>44705</v>
      </c>
      <c r="I145" t="s">
        <v>258</v>
      </c>
      <c r="J145" t="s">
        <v>234</v>
      </c>
      <c r="K145" t="s">
        <v>239</v>
      </c>
      <c r="L145" t="s">
        <v>253</v>
      </c>
    </row>
    <row r="146" spans="1:12">
      <c r="A146">
        <v>278</v>
      </c>
      <c r="B146" t="s">
        <v>189</v>
      </c>
      <c r="C146" t="str">
        <f>_xlfn.XLOOKUP(B146,product!$A$2:$A$20,product!$B$2:$B$20)</f>
        <v>Monitor</v>
      </c>
      <c r="D146" t="str">
        <f>_xlfn.XLOOKUP(C146,product!$B$2:$B$20,product!$C$2:$C$20)</f>
        <v>Display</v>
      </c>
      <c r="E146">
        <v>214</v>
      </c>
      <c r="F146">
        <v>3818</v>
      </c>
      <c r="G146">
        <v>817052</v>
      </c>
      <c r="H146" s="12">
        <v>44706</v>
      </c>
      <c r="I146" t="s">
        <v>260</v>
      </c>
      <c r="J146" t="s">
        <v>238</v>
      </c>
      <c r="K146" t="s">
        <v>239</v>
      </c>
      <c r="L146" t="s">
        <v>255</v>
      </c>
    </row>
    <row r="147" spans="1:12">
      <c r="A147">
        <v>345</v>
      </c>
      <c r="B147" t="s">
        <v>194</v>
      </c>
      <c r="C147" t="str">
        <f>_xlfn.XLOOKUP(B147,product!$A$2:$A$20,product!$B$2:$B$20)</f>
        <v>RAM Module</v>
      </c>
      <c r="D147" t="str">
        <f>_xlfn.XLOOKUP(C147,product!$B$2:$B$20,product!$C$2:$C$20)</f>
        <v>Internal Hardware</v>
      </c>
      <c r="E147">
        <v>275</v>
      </c>
      <c r="F147">
        <v>4003</v>
      </c>
      <c r="G147">
        <v>1100825</v>
      </c>
      <c r="H147" s="12">
        <v>44707</v>
      </c>
      <c r="I147" t="s">
        <v>233</v>
      </c>
      <c r="J147" t="s">
        <v>241</v>
      </c>
      <c r="K147" t="s">
        <v>248</v>
      </c>
      <c r="L147" t="s">
        <v>257</v>
      </c>
    </row>
    <row r="148" spans="1:12">
      <c r="A148">
        <v>307</v>
      </c>
      <c r="B148" t="s">
        <v>220</v>
      </c>
      <c r="C148" t="str">
        <f>_xlfn.XLOOKUP(B148,product!$A$2:$A$20,product!$B$2:$B$20)</f>
        <v>Ethernet Cable</v>
      </c>
      <c r="D148" t="str">
        <f>_xlfn.XLOOKUP(C148,product!$B$2:$B$20,product!$C$2:$C$20)</f>
        <v>Cables &amp; Connectors</v>
      </c>
      <c r="E148">
        <v>264</v>
      </c>
      <c r="F148">
        <v>3992</v>
      </c>
      <c r="G148">
        <v>1053888</v>
      </c>
      <c r="H148" s="12">
        <v>44708</v>
      </c>
      <c r="I148" t="s">
        <v>237</v>
      </c>
      <c r="J148" t="s">
        <v>234</v>
      </c>
      <c r="K148" t="s">
        <v>248</v>
      </c>
      <c r="L148" t="s">
        <v>259</v>
      </c>
    </row>
    <row r="149" spans="1:12">
      <c r="A149">
        <v>380</v>
      </c>
      <c r="B149" t="s">
        <v>217</v>
      </c>
      <c r="C149" t="str">
        <f>_xlfn.XLOOKUP(B149,product!$A$2:$A$20,product!$B$2:$B$20)</f>
        <v>Wireless Router</v>
      </c>
      <c r="D149" t="str">
        <f>_xlfn.XLOOKUP(C149,product!$B$2:$B$20,product!$C$2:$C$20)</f>
        <v>Network</v>
      </c>
      <c r="E149">
        <v>159</v>
      </c>
      <c r="F149">
        <v>2992</v>
      </c>
      <c r="G149">
        <v>475728</v>
      </c>
      <c r="H149" s="12">
        <v>44709</v>
      </c>
      <c r="I149" t="s">
        <v>90</v>
      </c>
      <c r="J149" t="s">
        <v>241</v>
      </c>
      <c r="K149" t="s">
        <v>239</v>
      </c>
      <c r="L149" t="s">
        <v>261</v>
      </c>
    </row>
    <row r="150" spans="1:12">
      <c r="A150">
        <v>234</v>
      </c>
      <c r="B150" t="s">
        <v>217</v>
      </c>
      <c r="C150" t="str">
        <f>_xlfn.XLOOKUP(B150,product!$A$2:$A$20,product!$B$2:$B$20)</f>
        <v>Wireless Router</v>
      </c>
      <c r="D150" t="str">
        <f>_xlfn.XLOOKUP(C150,product!$B$2:$B$20,product!$C$2:$C$20)</f>
        <v>Network</v>
      </c>
      <c r="E150">
        <v>266</v>
      </c>
      <c r="F150">
        <v>4605</v>
      </c>
      <c r="G150">
        <v>1224930</v>
      </c>
      <c r="H150" s="12">
        <v>44710</v>
      </c>
      <c r="I150" t="s">
        <v>243</v>
      </c>
      <c r="J150" t="s">
        <v>241</v>
      </c>
      <c r="K150" t="s">
        <v>235</v>
      </c>
      <c r="L150" t="s">
        <v>262</v>
      </c>
    </row>
    <row r="151" spans="1:12">
      <c r="A151">
        <v>396</v>
      </c>
      <c r="B151" t="s">
        <v>208</v>
      </c>
      <c r="C151" t="str">
        <f>_xlfn.XLOOKUP(B151,product!$A$2:$A$20,product!$B$2:$B$20)</f>
        <v>Headset</v>
      </c>
      <c r="D151" t="str">
        <f>_xlfn.XLOOKUP(C151,product!$B$2:$B$20,product!$C$2:$C$20)</f>
        <v>Audio</v>
      </c>
      <c r="E151">
        <v>217</v>
      </c>
      <c r="F151">
        <v>4247</v>
      </c>
      <c r="G151">
        <v>921599</v>
      </c>
      <c r="H151" s="12">
        <v>44711</v>
      </c>
      <c r="I151" t="s">
        <v>245</v>
      </c>
      <c r="J151" t="s">
        <v>238</v>
      </c>
      <c r="K151" t="s">
        <v>239</v>
      </c>
      <c r="L151" t="s">
        <v>263</v>
      </c>
    </row>
    <row r="152" spans="1:12">
      <c r="A152">
        <v>353</v>
      </c>
      <c r="B152" t="s">
        <v>198</v>
      </c>
      <c r="C152" t="str">
        <f>_xlfn.XLOOKUP(B152,product!$A$2:$A$20,product!$B$2:$B$20)</f>
        <v>HDMI Cable</v>
      </c>
      <c r="D152" t="str">
        <f>_xlfn.XLOOKUP(C152,product!$B$2:$B$20,product!$C$2:$C$20)</f>
        <v>Cables &amp; Connectors</v>
      </c>
      <c r="E152">
        <v>218</v>
      </c>
      <c r="F152">
        <v>4048</v>
      </c>
      <c r="G152">
        <v>882464</v>
      </c>
      <c r="H152" s="12">
        <v>44712</v>
      </c>
      <c r="I152" t="s">
        <v>247</v>
      </c>
      <c r="J152" t="s">
        <v>241</v>
      </c>
      <c r="K152" t="s">
        <v>239</v>
      </c>
      <c r="L152" t="s">
        <v>236</v>
      </c>
    </row>
    <row r="153" spans="1:12">
      <c r="A153">
        <v>483</v>
      </c>
      <c r="B153" t="s">
        <v>217</v>
      </c>
      <c r="C153" t="str">
        <f>_xlfn.XLOOKUP(B153,product!$A$2:$A$20,product!$B$2:$B$20)</f>
        <v>Wireless Router</v>
      </c>
      <c r="D153" t="str">
        <f>_xlfn.XLOOKUP(C153,product!$B$2:$B$20,product!$C$2:$C$20)</f>
        <v>Network</v>
      </c>
      <c r="E153">
        <v>189</v>
      </c>
      <c r="F153">
        <v>4751</v>
      </c>
      <c r="G153">
        <v>897939</v>
      </c>
      <c r="H153" s="12">
        <v>44713</v>
      </c>
      <c r="I153" t="s">
        <v>250</v>
      </c>
      <c r="J153" t="s">
        <v>241</v>
      </c>
      <c r="K153" t="s">
        <v>239</v>
      </c>
      <c r="L153" t="s">
        <v>240</v>
      </c>
    </row>
    <row r="154" spans="1:12">
      <c r="A154">
        <v>481</v>
      </c>
      <c r="B154" t="s">
        <v>203</v>
      </c>
      <c r="C154" t="str">
        <f>_xlfn.XLOOKUP(B154,product!$A$2:$A$20,product!$B$2:$B$20)</f>
        <v>Laptop Stand</v>
      </c>
      <c r="D154" t="str">
        <f>_xlfn.XLOOKUP(C154,product!$B$2:$B$20,product!$C$2:$C$20)</f>
        <v>Laptop Accessories</v>
      </c>
      <c r="E154">
        <v>109</v>
      </c>
      <c r="F154">
        <v>4241</v>
      </c>
      <c r="G154">
        <v>462269</v>
      </c>
      <c r="H154" s="12">
        <v>44714</v>
      </c>
      <c r="I154" t="s">
        <v>64</v>
      </c>
      <c r="J154" t="s">
        <v>238</v>
      </c>
      <c r="K154" t="s">
        <v>248</v>
      </c>
      <c r="L154" t="s">
        <v>242</v>
      </c>
    </row>
    <row r="155" spans="1:12">
      <c r="A155">
        <v>216</v>
      </c>
      <c r="B155" t="s">
        <v>208</v>
      </c>
      <c r="C155" t="str">
        <f>_xlfn.XLOOKUP(B155,product!$A$2:$A$20,product!$B$2:$B$20)</f>
        <v>Headset</v>
      </c>
      <c r="D155" t="str">
        <f>_xlfn.XLOOKUP(C155,product!$B$2:$B$20,product!$C$2:$C$20)</f>
        <v>Audio</v>
      </c>
      <c r="E155">
        <v>161</v>
      </c>
      <c r="F155">
        <v>2296</v>
      </c>
      <c r="G155">
        <v>369656</v>
      </c>
      <c r="H155" s="12">
        <v>44715</v>
      </c>
      <c r="I155" t="s">
        <v>245</v>
      </c>
      <c r="J155" t="s">
        <v>234</v>
      </c>
      <c r="K155" t="s">
        <v>239</v>
      </c>
      <c r="L155" t="s">
        <v>244</v>
      </c>
    </row>
    <row r="156" spans="1:12">
      <c r="A156">
        <v>405</v>
      </c>
      <c r="B156" t="s">
        <v>198</v>
      </c>
      <c r="C156" t="str">
        <f>_xlfn.XLOOKUP(B156,product!$A$2:$A$20,product!$B$2:$B$20)</f>
        <v>HDMI Cable</v>
      </c>
      <c r="D156" t="str">
        <f>_xlfn.XLOOKUP(C156,product!$B$2:$B$20,product!$C$2:$C$20)</f>
        <v>Cables &amp; Connectors</v>
      </c>
      <c r="E156">
        <v>281</v>
      </c>
      <c r="F156">
        <v>2968</v>
      </c>
      <c r="G156">
        <v>834008</v>
      </c>
      <c r="H156" s="12">
        <v>44716</v>
      </c>
      <c r="I156" t="s">
        <v>247</v>
      </c>
      <c r="J156" t="s">
        <v>238</v>
      </c>
      <c r="K156" t="s">
        <v>235</v>
      </c>
      <c r="L156" t="s">
        <v>246</v>
      </c>
    </row>
    <row r="157" spans="1:12">
      <c r="A157">
        <v>392</v>
      </c>
      <c r="B157" t="s">
        <v>184</v>
      </c>
      <c r="C157" t="str">
        <f>_xlfn.XLOOKUP(B157,product!$A$2:$A$20,product!$B$2:$B$20)</f>
        <v>Hard Drive</v>
      </c>
      <c r="D157" t="str">
        <f>_xlfn.XLOOKUP(C157,product!$B$2:$B$20,product!$C$2:$C$20)</f>
        <v>Storage</v>
      </c>
      <c r="E157">
        <v>267</v>
      </c>
      <c r="F157">
        <v>3009</v>
      </c>
      <c r="G157">
        <v>803403</v>
      </c>
      <c r="H157" s="12">
        <v>44717</v>
      </c>
      <c r="I157" t="s">
        <v>250</v>
      </c>
      <c r="J157" t="s">
        <v>234</v>
      </c>
      <c r="K157" t="s">
        <v>248</v>
      </c>
      <c r="L157" t="s">
        <v>249</v>
      </c>
    </row>
    <row r="158" spans="1:12">
      <c r="A158">
        <v>201</v>
      </c>
      <c r="B158" t="s">
        <v>208</v>
      </c>
      <c r="C158" t="str">
        <f>_xlfn.XLOOKUP(B158,product!$A$2:$A$20,product!$B$2:$B$20)</f>
        <v>Headset</v>
      </c>
      <c r="D158" t="str">
        <f>_xlfn.XLOOKUP(C158,product!$B$2:$B$20,product!$C$2:$C$20)</f>
        <v>Audio</v>
      </c>
      <c r="E158">
        <v>267</v>
      </c>
      <c r="F158">
        <v>2911</v>
      </c>
      <c r="G158">
        <v>777237</v>
      </c>
      <c r="H158" s="12">
        <v>44718</v>
      </c>
      <c r="I158" t="s">
        <v>64</v>
      </c>
      <c r="J158" t="s">
        <v>234</v>
      </c>
      <c r="K158" t="s">
        <v>239</v>
      </c>
      <c r="L158" t="s">
        <v>251</v>
      </c>
    </row>
    <row r="159" spans="1:12">
      <c r="A159">
        <v>371</v>
      </c>
      <c r="B159" t="s">
        <v>189</v>
      </c>
      <c r="C159" t="str">
        <f>_xlfn.XLOOKUP(B159,product!$A$2:$A$20,product!$B$2:$B$20)</f>
        <v>Monitor</v>
      </c>
      <c r="D159" t="str">
        <f>_xlfn.XLOOKUP(C159,product!$B$2:$B$20,product!$C$2:$C$20)</f>
        <v>Display</v>
      </c>
      <c r="E159">
        <v>196</v>
      </c>
      <c r="F159">
        <v>2654</v>
      </c>
      <c r="G159">
        <v>520184</v>
      </c>
      <c r="H159" s="12">
        <v>44719</v>
      </c>
      <c r="I159" t="s">
        <v>59</v>
      </c>
      <c r="J159" t="s">
        <v>241</v>
      </c>
      <c r="K159" t="s">
        <v>239</v>
      </c>
      <c r="L159" t="s">
        <v>252</v>
      </c>
    </row>
    <row r="160" spans="1:12">
      <c r="A160">
        <v>309</v>
      </c>
      <c r="B160" t="s">
        <v>191</v>
      </c>
      <c r="C160" t="str">
        <f>_xlfn.XLOOKUP(B160,product!$A$2:$A$20,product!$B$2:$B$20)</f>
        <v>Graphics Card</v>
      </c>
      <c r="D160" t="str">
        <f>_xlfn.XLOOKUP(C160,product!$B$2:$B$20,product!$C$2:$C$20)</f>
        <v>Internal Hardware</v>
      </c>
      <c r="E160">
        <v>222</v>
      </c>
      <c r="F160">
        <v>3527</v>
      </c>
      <c r="G160">
        <v>782994</v>
      </c>
      <c r="H160" s="12">
        <v>44720</v>
      </c>
      <c r="I160" t="s">
        <v>254</v>
      </c>
      <c r="J160" t="s">
        <v>234</v>
      </c>
      <c r="K160" t="s">
        <v>248</v>
      </c>
      <c r="L160" t="s">
        <v>253</v>
      </c>
    </row>
    <row r="161" spans="1:12">
      <c r="A161">
        <v>435</v>
      </c>
      <c r="B161" t="s">
        <v>211</v>
      </c>
      <c r="C161" t="str">
        <f>_xlfn.XLOOKUP(B161,product!$A$2:$A$20,product!$B$2:$B$20)</f>
        <v>Printer</v>
      </c>
      <c r="D161" t="str">
        <f>_xlfn.XLOOKUP(C161,product!$B$2:$B$20,product!$C$2:$C$20)</f>
        <v>Peripherals</v>
      </c>
      <c r="E161">
        <v>135</v>
      </c>
      <c r="F161">
        <v>4740</v>
      </c>
      <c r="G161">
        <v>639900</v>
      </c>
      <c r="H161" s="12">
        <v>44721</v>
      </c>
      <c r="I161" t="s">
        <v>256</v>
      </c>
      <c r="J161" t="s">
        <v>238</v>
      </c>
      <c r="K161" t="s">
        <v>235</v>
      </c>
      <c r="L161" t="s">
        <v>255</v>
      </c>
    </row>
    <row r="162" spans="1:12">
      <c r="A162">
        <v>353</v>
      </c>
      <c r="B162" t="s">
        <v>194</v>
      </c>
      <c r="C162" t="str">
        <f>_xlfn.XLOOKUP(B162,product!$A$2:$A$20,product!$B$2:$B$20)</f>
        <v>RAM Module</v>
      </c>
      <c r="D162" t="str">
        <f>_xlfn.XLOOKUP(C162,product!$B$2:$B$20,product!$C$2:$C$20)</f>
        <v>Internal Hardware</v>
      </c>
      <c r="E162">
        <v>176</v>
      </c>
      <c r="F162">
        <v>4116</v>
      </c>
      <c r="G162">
        <v>724416</v>
      </c>
      <c r="H162" s="12">
        <v>44722</v>
      </c>
      <c r="I162" t="s">
        <v>258</v>
      </c>
      <c r="J162" t="s">
        <v>241</v>
      </c>
      <c r="K162" t="s">
        <v>248</v>
      </c>
      <c r="L162" t="s">
        <v>257</v>
      </c>
    </row>
    <row r="163" spans="1:12">
      <c r="A163">
        <v>392</v>
      </c>
      <c r="B163" t="s">
        <v>194</v>
      </c>
      <c r="C163" t="str">
        <f>_xlfn.XLOOKUP(B163,product!$A$2:$A$20,product!$B$2:$B$20)</f>
        <v>RAM Module</v>
      </c>
      <c r="D163" t="str">
        <f>_xlfn.XLOOKUP(C163,product!$B$2:$B$20,product!$C$2:$C$20)</f>
        <v>Internal Hardware</v>
      </c>
      <c r="E163">
        <v>278</v>
      </c>
      <c r="F163">
        <v>2243</v>
      </c>
      <c r="G163">
        <v>623554</v>
      </c>
      <c r="H163" s="12">
        <v>44723</v>
      </c>
      <c r="I163" t="s">
        <v>260</v>
      </c>
      <c r="J163" t="s">
        <v>238</v>
      </c>
      <c r="K163" t="s">
        <v>248</v>
      </c>
      <c r="L163" t="s">
        <v>259</v>
      </c>
    </row>
    <row r="164" spans="1:12">
      <c r="A164">
        <v>351</v>
      </c>
      <c r="B164" t="s">
        <v>191</v>
      </c>
      <c r="C164" t="str">
        <f>_xlfn.XLOOKUP(B164,product!$A$2:$A$20,product!$B$2:$B$20)</f>
        <v>Graphics Card</v>
      </c>
      <c r="D164" t="str">
        <f>_xlfn.XLOOKUP(C164,product!$B$2:$B$20,product!$C$2:$C$20)</f>
        <v>Internal Hardware</v>
      </c>
      <c r="E164">
        <v>242</v>
      </c>
      <c r="F164">
        <v>3372</v>
      </c>
      <c r="G164">
        <v>816024</v>
      </c>
      <c r="H164" s="12">
        <v>44724</v>
      </c>
      <c r="I164" t="s">
        <v>233</v>
      </c>
      <c r="J164" t="s">
        <v>238</v>
      </c>
      <c r="K164" t="s">
        <v>235</v>
      </c>
      <c r="L164" t="s">
        <v>261</v>
      </c>
    </row>
    <row r="165" spans="1:12">
      <c r="A165">
        <v>252</v>
      </c>
      <c r="B165" t="s">
        <v>201</v>
      </c>
      <c r="C165" t="str">
        <f>_xlfn.XLOOKUP(B165,product!$A$2:$A$20,product!$B$2:$B$20)</f>
        <v>Webcam</v>
      </c>
      <c r="D165" t="str">
        <f>_xlfn.XLOOKUP(C165,product!$B$2:$B$20,product!$C$2:$C$20)</f>
        <v>Peripherals</v>
      </c>
      <c r="E165">
        <v>200</v>
      </c>
      <c r="F165">
        <v>2382</v>
      </c>
      <c r="G165">
        <v>476400</v>
      </c>
      <c r="H165" s="12">
        <v>44725</v>
      </c>
      <c r="I165" t="s">
        <v>237</v>
      </c>
      <c r="J165" t="s">
        <v>238</v>
      </c>
      <c r="K165" t="s">
        <v>235</v>
      </c>
      <c r="L165" t="s">
        <v>262</v>
      </c>
    </row>
    <row r="166" spans="1:12">
      <c r="A166">
        <v>491</v>
      </c>
      <c r="B166" t="s">
        <v>183</v>
      </c>
      <c r="C166" t="str">
        <f>_xlfn.XLOOKUP(B166,product!$A$2:$A$20,product!$B$2:$B$20)</f>
        <v>Mouse</v>
      </c>
      <c r="D166" t="str">
        <f>_xlfn.XLOOKUP(C166,product!$B$2:$B$20,product!$C$2:$C$20)</f>
        <v>Input Device</v>
      </c>
      <c r="E166">
        <v>281</v>
      </c>
      <c r="F166">
        <v>3657</v>
      </c>
      <c r="G166">
        <v>1027617</v>
      </c>
      <c r="H166" s="12">
        <v>44726</v>
      </c>
      <c r="I166" t="s">
        <v>90</v>
      </c>
      <c r="J166" t="s">
        <v>234</v>
      </c>
      <c r="K166" t="s">
        <v>239</v>
      </c>
      <c r="L166" t="s">
        <v>263</v>
      </c>
    </row>
    <row r="167" spans="1:12">
      <c r="A167">
        <v>407</v>
      </c>
      <c r="B167" t="s">
        <v>191</v>
      </c>
      <c r="C167" t="str">
        <f>_xlfn.XLOOKUP(B167,product!$A$2:$A$20,product!$B$2:$B$20)</f>
        <v>Graphics Card</v>
      </c>
      <c r="D167" t="str">
        <f>_xlfn.XLOOKUP(C167,product!$B$2:$B$20,product!$C$2:$C$20)</f>
        <v>Internal Hardware</v>
      </c>
      <c r="E167">
        <v>288</v>
      </c>
      <c r="F167">
        <v>4281</v>
      </c>
      <c r="G167">
        <v>1232928</v>
      </c>
      <c r="H167" s="12">
        <v>44727</v>
      </c>
      <c r="I167" t="s">
        <v>243</v>
      </c>
      <c r="J167" t="s">
        <v>238</v>
      </c>
      <c r="K167" t="s">
        <v>235</v>
      </c>
      <c r="L167" t="s">
        <v>236</v>
      </c>
    </row>
    <row r="168" spans="1:12">
      <c r="A168">
        <v>466</v>
      </c>
      <c r="B168" t="s">
        <v>215</v>
      </c>
      <c r="C168" t="str">
        <f>_xlfn.XLOOKUP(B168,product!$A$2:$A$20,product!$B$2:$B$20)</f>
        <v>Speakers</v>
      </c>
      <c r="D168" t="str">
        <f>_xlfn.XLOOKUP(C168,product!$B$2:$B$20,product!$C$2:$C$20)</f>
        <v>Audio</v>
      </c>
      <c r="E168">
        <v>272</v>
      </c>
      <c r="F168">
        <v>2337</v>
      </c>
      <c r="G168">
        <v>635664</v>
      </c>
      <c r="H168" s="12">
        <v>44728</v>
      </c>
      <c r="I168" t="s">
        <v>245</v>
      </c>
      <c r="J168" t="s">
        <v>234</v>
      </c>
      <c r="K168" t="s">
        <v>239</v>
      </c>
      <c r="L168" t="s">
        <v>240</v>
      </c>
    </row>
    <row r="169" spans="1:12">
      <c r="A169">
        <v>384</v>
      </c>
      <c r="B169" t="s">
        <v>198</v>
      </c>
      <c r="C169" t="str">
        <f>_xlfn.XLOOKUP(B169,product!$A$2:$A$20,product!$B$2:$B$20)</f>
        <v>HDMI Cable</v>
      </c>
      <c r="D169" t="str">
        <f>_xlfn.XLOOKUP(C169,product!$B$2:$B$20,product!$C$2:$C$20)</f>
        <v>Cables &amp; Connectors</v>
      </c>
      <c r="E169">
        <v>175</v>
      </c>
      <c r="F169">
        <v>2316</v>
      </c>
      <c r="G169">
        <v>405300</v>
      </c>
      <c r="H169" s="12">
        <v>44729</v>
      </c>
      <c r="I169" t="s">
        <v>247</v>
      </c>
      <c r="J169" t="s">
        <v>241</v>
      </c>
      <c r="K169" t="s">
        <v>235</v>
      </c>
      <c r="L169" t="s">
        <v>242</v>
      </c>
    </row>
    <row r="170" spans="1:12">
      <c r="A170">
        <v>276</v>
      </c>
      <c r="B170" t="s">
        <v>208</v>
      </c>
      <c r="C170" t="str">
        <f>_xlfn.XLOOKUP(B170,product!$A$2:$A$20,product!$B$2:$B$20)</f>
        <v>Headset</v>
      </c>
      <c r="D170" t="str">
        <f>_xlfn.XLOOKUP(C170,product!$B$2:$B$20,product!$C$2:$C$20)</f>
        <v>Audio</v>
      </c>
      <c r="E170">
        <v>234</v>
      </c>
      <c r="F170">
        <v>3767</v>
      </c>
      <c r="G170">
        <v>881478</v>
      </c>
      <c r="H170" s="12">
        <v>44730</v>
      </c>
      <c r="I170" t="s">
        <v>250</v>
      </c>
      <c r="J170" t="s">
        <v>234</v>
      </c>
      <c r="K170" t="s">
        <v>248</v>
      </c>
      <c r="L170" t="s">
        <v>244</v>
      </c>
    </row>
    <row r="171" spans="1:12">
      <c r="A171">
        <v>263</v>
      </c>
      <c r="B171" t="s">
        <v>187</v>
      </c>
      <c r="C171" t="str">
        <f>_xlfn.XLOOKUP(B171,product!$A$2:$A$20,product!$B$2:$B$20)</f>
        <v>USB Flash Drive</v>
      </c>
      <c r="D171" t="str">
        <f>_xlfn.XLOOKUP(C171,product!$B$2:$B$20,product!$C$2:$C$20)</f>
        <v>Storage</v>
      </c>
      <c r="E171">
        <v>145</v>
      </c>
      <c r="F171">
        <v>2412</v>
      </c>
      <c r="G171">
        <v>349740</v>
      </c>
      <c r="H171" s="12">
        <v>44731</v>
      </c>
      <c r="I171" t="s">
        <v>64</v>
      </c>
      <c r="J171" t="s">
        <v>241</v>
      </c>
      <c r="K171" t="s">
        <v>248</v>
      </c>
      <c r="L171" t="s">
        <v>246</v>
      </c>
    </row>
    <row r="172" spans="1:12">
      <c r="A172">
        <v>229</v>
      </c>
      <c r="B172" t="s">
        <v>206</v>
      </c>
      <c r="C172" t="str">
        <f>_xlfn.XLOOKUP(B172,product!$A$2:$A$20,product!$B$2:$B$20)</f>
        <v>Cooling Pad</v>
      </c>
      <c r="D172" t="str">
        <f>_xlfn.XLOOKUP(C172,product!$B$2:$B$20,product!$C$2:$C$20)</f>
        <v>Laptop Accessories</v>
      </c>
      <c r="E172">
        <v>280</v>
      </c>
      <c r="F172">
        <v>4949</v>
      </c>
      <c r="G172">
        <v>1385720</v>
      </c>
      <c r="H172" s="12">
        <v>44732</v>
      </c>
      <c r="I172" t="s">
        <v>254</v>
      </c>
      <c r="J172" t="s">
        <v>234</v>
      </c>
      <c r="K172" t="s">
        <v>248</v>
      </c>
      <c r="L172" t="s">
        <v>249</v>
      </c>
    </row>
    <row r="173" spans="1:12">
      <c r="A173">
        <v>489</v>
      </c>
      <c r="B173" t="s">
        <v>181</v>
      </c>
      <c r="C173" t="str">
        <f>_xlfn.XLOOKUP(B173,product!$A$2:$A$20,product!$B$2:$B$20)</f>
        <v>Keyboard</v>
      </c>
      <c r="D173" t="str">
        <f>_xlfn.XLOOKUP(C173,product!$B$2:$B$20,product!$C$2:$C$20)</f>
        <v>Input Device</v>
      </c>
      <c r="E173">
        <v>264</v>
      </c>
      <c r="F173">
        <v>3943</v>
      </c>
      <c r="G173">
        <v>1040952</v>
      </c>
      <c r="H173" s="12">
        <v>44733</v>
      </c>
      <c r="I173" t="s">
        <v>256</v>
      </c>
      <c r="J173" t="s">
        <v>234</v>
      </c>
      <c r="K173" t="s">
        <v>235</v>
      </c>
      <c r="L173" t="s">
        <v>251</v>
      </c>
    </row>
    <row r="174" spans="1:12">
      <c r="A174">
        <v>241</v>
      </c>
      <c r="B174" t="s">
        <v>215</v>
      </c>
      <c r="C174" t="str">
        <f>_xlfn.XLOOKUP(B174,product!$A$2:$A$20,product!$B$2:$B$20)</f>
        <v>Speakers</v>
      </c>
      <c r="D174" t="str">
        <f>_xlfn.XLOOKUP(C174,product!$B$2:$B$20,product!$C$2:$C$20)</f>
        <v>Audio</v>
      </c>
      <c r="E174">
        <v>253</v>
      </c>
      <c r="F174">
        <v>3538</v>
      </c>
      <c r="G174">
        <v>895114</v>
      </c>
      <c r="H174" s="12">
        <v>44734</v>
      </c>
      <c r="I174" t="s">
        <v>258</v>
      </c>
      <c r="J174" t="s">
        <v>241</v>
      </c>
      <c r="K174" t="s">
        <v>248</v>
      </c>
      <c r="L174" t="s">
        <v>252</v>
      </c>
    </row>
    <row r="175" spans="1:12">
      <c r="A175">
        <v>221</v>
      </c>
      <c r="B175" t="s">
        <v>208</v>
      </c>
      <c r="C175" t="str">
        <f>_xlfn.XLOOKUP(B175,product!$A$2:$A$20,product!$B$2:$B$20)</f>
        <v>Headset</v>
      </c>
      <c r="D175" t="str">
        <f>_xlfn.XLOOKUP(C175,product!$B$2:$B$20,product!$C$2:$C$20)</f>
        <v>Audio</v>
      </c>
      <c r="E175">
        <v>175</v>
      </c>
      <c r="F175">
        <v>4898</v>
      </c>
      <c r="G175">
        <v>857150</v>
      </c>
      <c r="H175" s="12">
        <v>44735</v>
      </c>
      <c r="I175" t="s">
        <v>260</v>
      </c>
      <c r="J175" t="s">
        <v>238</v>
      </c>
      <c r="K175" t="s">
        <v>248</v>
      </c>
      <c r="L175" t="s">
        <v>253</v>
      </c>
    </row>
    <row r="176" spans="1:12">
      <c r="A176">
        <v>361</v>
      </c>
      <c r="B176" t="s">
        <v>189</v>
      </c>
      <c r="C176" t="str">
        <f>_xlfn.XLOOKUP(B176,product!$A$2:$A$20,product!$B$2:$B$20)</f>
        <v>Monitor</v>
      </c>
      <c r="D176" t="str">
        <f>_xlfn.XLOOKUP(C176,product!$B$2:$B$20,product!$C$2:$C$20)</f>
        <v>Display</v>
      </c>
      <c r="E176">
        <v>247</v>
      </c>
      <c r="F176">
        <v>4086</v>
      </c>
      <c r="G176">
        <v>1009242</v>
      </c>
      <c r="H176" s="12">
        <v>44736</v>
      </c>
      <c r="I176" t="s">
        <v>233</v>
      </c>
      <c r="J176" t="s">
        <v>238</v>
      </c>
      <c r="K176" t="s">
        <v>235</v>
      </c>
      <c r="L176" t="s">
        <v>255</v>
      </c>
    </row>
    <row r="177" spans="1:12">
      <c r="A177">
        <v>439</v>
      </c>
      <c r="B177" t="s">
        <v>183</v>
      </c>
      <c r="C177" t="str">
        <f>_xlfn.XLOOKUP(B177,product!$A$2:$A$20,product!$B$2:$B$20)</f>
        <v>Mouse</v>
      </c>
      <c r="D177" t="str">
        <f>_xlfn.XLOOKUP(C177,product!$B$2:$B$20,product!$C$2:$C$20)</f>
        <v>Input Device</v>
      </c>
      <c r="E177">
        <v>115</v>
      </c>
      <c r="F177">
        <v>3394</v>
      </c>
      <c r="G177">
        <v>390310</v>
      </c>
      <c r="H177" s="12">
        <v>44737</v>
      </c>
      <c r="I177" t="s">
        <v>237</v>
      </c>
      <c r="J177" t="s">
        <v>238</v>
      </c>
      <c r="K177" t="s">
        <v>239</v>
      </c>
      <c r="L177" t="s">
        <v>257</v>
      </c>
    </row>
    <row r="178" spans="1:12">
      <c r="A178">
        <v>349</v>
      </c>
      <c r="B178" t="s">
        <v>213</v>
      </c>
      <c r="C178" t="str">
        <f>_xlfn.XLOOKUP(B178,product!$A$2:$A$20,product!$B$2:$B$20)</f>
        <v>Scanner</v>
      </c>
      <c r="D178" t="str">
        <f>_xlfn.XLOOKUP(C178,product!$B$2:$B$20,product!$C$2:$C$20)</f>
        <v>Peripherals</v>
      </c>
      <c r="E178">
        <v>297</v>
      </c>
      <c r="F178">
        <v>2879</v>
      </c>
      <c r="G178">
        <v>855063</v>
      </c>
      <c r="H178" s="12">
        <v>44738</v>
      </c>
      <c r="I178" t="s">
        <v>90</v>
      </c>
      <c r="J178" t="s">
        <v>238</v>
      </c>
      <c r="K178" t="s">
        <v>248</v>
      </c>
      <c r="L178" t="s">
        <v>259</v>
      </c>
    </row>
    <row r="179" spans="1:12">
      <c r="A179">
        <v>261</v>
      </c>
      <c r="B179" t="s">
        <v>198</v>
      </c>
      <c r="C179" t="str">
        <f>_xlfn.XLOOKUP(B179,product!$A$2:$A$20,product!$B$2:$B$20)</f>
        <v>HDMI Cable</v>
      </c>
      <c r="D179" t="str">
        <f>_xlfn.XLOOKUP(C179,product!$B$2:$B$20,product!$C$2:$C$20)</f>
        <v>Cables &amp; Connectors</v>
      </c>
      <c r="E179">
        <v>101</v>
      </c>
      <c r="F179">
        <v>4665</v>
      </c>
      <c r="G179">
        <v>471165</v>
      </c>
      <c r="H179" s="12">
        <v>44739</v>
      </c>
      <c r="I179" t="s">
        <v>243</v>
      </c>
      <c r="J179" t="s">
        <v>238</v>
      </c>
      <c r="K179" t="s">
        <v>235</v>
      </c>
      <c r="L179" t="s">
        <v>261</v>
      </c>
    </row>
    <row r="180" spans="1:12">
      <c r="A180">
        <v>316</v>
      </c>
      <c r="B180" t="s">
        <v>201</v>
      </c>
      <c r="C180" t="str">
        <f>_xlfn.XLOOKUP(B180,product!$A$2:$A$20,product!$B$2:$B$20)</f>
        <v>Webcam</v>
      </c>
      <c r="D180" t="str">
        <f>_xlfn.XLOOKUP(C180,product!$B$2:$B$20,product!$C$2:$C$20)</f>
        <v>Peripherals</v>
      </c>
      <c r="E180">
        <v>234</v>
      </c>
      <c r="F180">
        <v>2355</v>
      </c>
      <c r="G180">
        <v>551070</v>
      </c>
      <c r="H180" s="12">
        <v>44740</v>
      </c>
      <c r="I180" t="s">
        <v>245</v>
      </c>
      <c r="J180" t="s">
        <v>241</v>
      </c>
      <c r="K180" t="s">
        <v>235</v>
      </c>
      <c r="L180" t="s">
        <v>262</v>
      </c>
    </row>
    <row r="181" spans="1:12">
      <c r="A181">
        <v>424</v>
      </c>
      <c r="B181" t="s">
        <v>222</v>
      </c>
      <c r="C181" t="str">
        <f>_xlfn.XLOOKUP(B181,product!$A$2:$A$20,product!$B$2:$B$20)</f>
        <v>Laptop Bag</v>
      </c>
      <c r="D181" t="str">
        <f>_xlfn.XLOOKUP(C181,product!$B$2:$B$20,product!$C$2:$C$20)</f>
        <v>Laptop Accessories</v>
      </c>
      <c r="E181">
        <v>253</v>
      </c>
      <c r="F181">
        <v>4743</v>
      </c>
      <c r="G181">
        <v>1199979</v>
      </c>
      <c r="H181" s="12">
        <v>44741</v>
      </c>
      <c r="I181" t="s">
        <v>247</v>
      </c>
      <c r="J181" t="s">
        <v>238</v>
      </c>
      <c r="K181" t="s">
        <v>239</v>
      </c>
      <c r="L181" t="s">
        <v>263</v>
      </c>
    </row>
    <row r="182" spans="1:12">
      <c r="A182">
        <v>419</v>
      </c>
      <c r="B182" t="s">
        <v>206</v>
      </c>
      <c r="C182" t="str">
        <f>_xlfn.XLOOKUP(B182,product!$A$2:$A$20,product!$B$2:$B$20)</f>
        <v>Cooling Pad</v>
      </c>
      <c r="D182" t="str">
        <f>_xlfn.XLOOKUP(C182,product!$B$2:$B$20,product!$C$2:$C$20)</f>
        <v>Laptop Accessories</v>
      </c>
      <c r="E182">
        <v>182</v>
      </c>
      <c r="F182">
        <v>3205</v>
      </c>
      <c r="G182">
        <v>583310</v>
      </c>
      <c r="H182" s="12">
        <v>44742</v>
      </c>
      <c r="I182" t="s">
        <v>250</v>
      </c>
      <c r="J182" t="s">
        <v>241</v>
      </c>
      <c r="K182" t="s">
        <v>235</v>
      </c>
      <c r="L182" t="s">
        <v>236</v>
      </c>
    </row>
    <row r="183" spans="1:12">
      <c r="A183">
        <v>416</v>
      </c>
      <c r="B183" t="s">
        <v>196</v>
      </c>
      <c r="C183" t="str">
        <f>_xlfn.XLOOKUP(B183,product!$A$2:$A$20,product!$B$2:$B$20)</f>
        <v>SSD</v>
      </c>
      <c r="D183" t="str">
        <f>_xlfn.XLOOKUP(C183,product!$B$2:$B$20,product!$C$2:$C$20)</f>
        <v>Internal Hardware</v>
      </c>
      <c r="E183">
        <v>242</v>
      </c>
      <c r="F183">
        <v>4485</v>
      </c>
      <c r="G183">
        <v>1085370</v>
      </c>
      <c r="H183" s="12">
        <v>44743</v>
      </c>
      <c r="I183" t="s">
        <v>64</v>
      </c>
      <c r="J183" t="s">
        <v>241</v>
      </c>
      <c r="K183" t="s">
        <v>248</v>
      </c>
      <c r="L183" t="s">
        <v>240</v>
      </c>
    </row>
    <row r="184" spans="1:12">
      <c r="A184">
        <v>214</v>
      </c>
      <c r="B184" t="s">
        <v>198</v>
      </c>
      <c r="C184" t="str">
        <f>_xlfn.XLOOKUP(B184,product!$A$2:$A$20,product!$B$2:$B$20)</f>
        <v>HDMI Cable</v>
      </c>
      <c r="D184" t="str">
        <f>_xlfn.XLOOKUP(C184,product!$B$2:$B$20,product!$C$2:$C$20)</f>
        <v>Cables &amp; Connectors</v>
      </c>
      <c r="E184">
        <v>194</v>
      </c>
      <c r="F184">
        <v>3607</v>
      </c>
      <c r="G184">
        <v>699758</v>
      </c>
      <c r="H184" s="12">
        <v>44744</v>
      </c>
      <c r="I184" t="s">
        <v>245</v>
      </c>
      <c r="J184" t="s">
        <v>234</v>
      </c>
      <c r="K184" t="s">
        <v>248</v>
      </c>
      <c r="L184" t="s">
        <v>242</v>
      </c>
    </row>
    <row r="185" spans="1:12">
      <c r="A185">
        <v>487</v>
      </c>
      <c r="B185" t="s">
        <v>201</v>
      </c>
      <c r="C185" t="str">
        <f>_xlfn.XLOOKUP(B185,product!$A$2:$A$20,product!$B$2:$B$20)</f>
        <v>Webcam</v>
      </c>
      <c r="D185" t="str">
        <f>_xlfn.XLOOKUP(C185,product!$B$2:$B$20,product!$C$2:$C$20)</f>
        <v>Peripherals</v>
      </c>
      <c r="E185">
        <v>245</v>
      </c>
      <c r="F185">
        <v>2712</v>
      </c>
      <c r="G185">
        <v>664440</v>
      </c>
      <c r="H185" s="12">
        <v>44745</v>
      </c>
      <c r="I185" t="s">
        <v>247</v>
      </c>
      <c r="J185" t="s">
        <v>238</v>
      </c>
      <c r="K185" t="s">
        <v>248</v>
      </c>
      <c r="L185" t="s">
        <v>244</v>
      </c>
    </row>
    <row r="186" spans="1:12">
      <c r="A186">
        <v>438</v>
      </c>
      <c r="B186" t="s">
        <v>181</v>
      </c>
      <c r="C186" t="str">
        <f>_xlfn.XLOOKUP(B186,product!$A$2:$A$20,product!$B$2:$B$20)</f>
        <v>Keyboard</v>
      </c>
      <c r="D186" t="str">
        <f>_xlfn.XLOOKUP(C186,product!$B$2:$B$20,product!$C$2:$C$20)</f>
        <v>Input Device</v>
      </c>
      <c r="E186">
        <v>242</v>
      </c>
      <c r="F186">
        <v>3451</v>
      </c>
      <c r="G186">
        <v>835142</v>
      </c>
      <c r="H186" s="12">
        <v>44746</v>
      </c>
      <c r="I186" t="s">
        <v>250</v>
      </c>
      <c r="J186" t="s">
        <v>241</v>
      </c>
      <c r="K186" t="s">
        <v>239</v>
      </c>
      <c r="L186" t="s">
        <v>246</v>
      </c>
    </row>
    <row r="187" spans="1:12">
      <c r="A187">
        <v>477</v>
      </c>
      <c r="B187" t="s">
        <v>211</v>
      </c>
      <c r="C187" t="str">
        <f>_xlfn.XLOOKUP(B187,product!$A$2:$A$20,product!$B$2:$B$20)</f>
        <v>Printer</v>
      </c>
      <c r="D187" t="str">
        <f>_xlfn.XLOOKUP(C187,product!$B$2:$B$20,product!$C$2:$C$20)</f>
        <v>Peripherals</v>
      </c>
      <c r="E187">
        <v>143</v>
      </c>
      <c r="F187">
        <v>2167</v>
      </c>
      <c r="G187">
        <v>309881</v>
      </c>
      <c r="H187" s="12">
        <v>44747</v>
      </c>
      <c r="I187" t="s">
        <v>64</v>
      </c>
      <c r="J187" t="s">
        <v>238</v>
      </c>
      <c r="K187" t="s">
        <v>248</v>
      </c>
      <c r="L187" t="s">
        <v>249</v>
      </c>
    </row>
    <row r="188" spans="1:12">
      <c r="A188">
        <v>305</v>
      </c>
      <c r="B188" t="s">
        <v>198</v>
      </c>
      <c r="C188" t="str">
        <f>_xlfn.XLOOKUP(B188,product!$A$2:$A$20,product!$B$2:$B$20)</f>
        <v>HDMI Cable</v>
      </c>
      <c r="D188" t="str">
        <f>_xlfn.XLOOKUP(C188,product!$B$2:$B$20,product!$C$2:$C$20)</f>
        <v>Cables &amp; Connectors</v>
      </c>
      <c r="E188">
        <v>121</v>
      </c>
      <c r="F188">
        <v>4811</v>
      </c>
      <c r="G188">
        <v>582131</v>
      </c>
      <c r="H188" s="12">
        <v>44748</v>
      </c>
      <c r="I188" t="s">
        <v>59</v>
      </c>
      <c r="J188" t="s">
        <v>241</v>
      </c>
      <c r="K188" t="s">
        <v>239</v>
      </c>
      <c r="L188" t="s">
        <v>251</v>
      </c>
    </row>
    <row r="189" spans="1:12">
      <c r="A189">
        <v>287</v>
      </c>
      <c r="B189" t="s">
        <v>206</v>
      </c>
      <c r="C189" t="str">
        <f>_xlfn.XLOOKUP(B189,product!$A$2:$A$20,product!$B$2:$B$20)</f>
        <v>Cooling Pad</v>
      </c>
      <c r="D189" t="str">
        <f>_xlfn.XLOOKUP(C189,product!$B$2:$B$20,product!$C$2:$C$20)</f>
        <v>Laptop Accessories</v>
      </c>
      <c r="E189">
        <v>153</v>
      </c>
      <c r="F189">
        <v>2090</v>
      </c>
      <c r="G189">
        <v>319770</v>
      </c>
      <c r="H189" s="12">
        <v>44749</v>
      </c>
      <c r="I189" t="s">
        <v>254</v>
      </c>
      <c r="J189" t="s">
        <v>234</v>
      </c>
      <c r="K189" t="s">
        <v>235</v>
      </c>
      <c r="L189" t="s">
        <v>252</v>
      </c>
    </row>
    <row r="190" spans="1:12">
      <c r="A190">
        <v>471</v>
      </c>
      <c r="B190" t="s">
        <v>213</v>
      </c>
      <c r="C190" t="str">
        <f>_xlfn.XLOOKUP(B190,product!$A$2:$A$20,product!$B$2:$B$20)</f>
        <v>Scanner</v>
      </c>
      <c r="D190" t="str">
        <f>_xlfn.XLOOKUP(C190,product!$B$2:$B$20,product!$C$2:$C$20)</f>
        <v>Peripherals</v>
      </c>
      <c r="E190">
        <v>184</v>
      </c>
      <c r="F190">
        <v>2832</v>
      </c>
      <c r="G190">
        <v>521088</v>
      </c>
      <c r="H190" s="12">
        <v>44750</v>
      </c>
      <c r="I190" t="s">
        <v>256</v>
      </c>
      <c r="J190" t="s">
        <v>234</v>
      </c>
      <c r="K190" t="s">
        <v>235</v>
      </c>
      <c r="L190" t="s">
        <v>253</v>
      </c>
    </row>
    <row r="191" spans="1:12">
      <c r="A191">
        <v>442</v>
      </c>
      <c r="B191" t="s">
        <v>181</v>
      </c>
      <c r="C191" t="str">
        <f>_xlfn.XLOOKUP(B191,product!$A$2:$A$20,product!$B$2:$B$20)</f>
        <v>Keyboard</v>
      </c>
      <c r="D191" t="str">
        <f>_xlfn.XLOOKUP(C191,product!$B$2:$B$20,product!$C$2:$C$20)</f>
        <v>Input Device</v>
      </c>
      <c r="E191">
        <v>177</v>
      </c>
      <c r="F191">
        <v>3152</v>
      </c>
      <c r="G191">
        <v>557904</v>
      </c>
      <c r="H191" s="12">
        <v>44751</v>
      </c>
      <c r="I191" t="s">
        <v>258</v>
      </c>
      <c r="J191" t="s">
        <v>241</v>
      </c>
      <c r="K191" t="s">
        <v>235</v>
      </c>
      <c r="L191" t="s">
        <v>255</v>
      </c>
    </row>
    <row r="192" spans="1:12">
      <c r="A192">
        <v>259</v>
      </c>
      <c r="B192" t="s">
        <v>206</v>
      </c>
      <c r="C192" t="str">
        <f>_xlfn.XLOOKUP(B192,product!$A$2:$A$20,product!$B$2:$B$20)</f>
        <v>Cooling Pad</v>
      </c>
      <c r="D192" t="str">
        <f>_xlfn.XLOOKUP(C192,product!$B$2:$B$20,product!$C$2:$C$20)</f>
        <v>Laptop Accessories</v>
      </c>
      <c r="E192">
        <v>146</v>
      </c>
      <c r="F192">
        <v>2076</v>
      </c>
      <c r="G192">
        <v>303096</v>
      </c>
      <c r="H192" s="12">
        <v>44752</v>
      </c>
      <c r="I192" t="s">
        <v>260</v>
      </c>
      <c r="J192" t="s">
        <v>241</v>
      </c>
      <c r="K192" t="s">
        <v>248</v>
      </c>
      <c r="L192" t="s">
        <v>257</v>
      </c>
    </row>
    <row r="193" spans="1:12">
      <c r="A193">
        <v>407</v>
      </c>
      <c r="B193" t="s">
        <v>211</v>
      </c>
      <c r="C193" t="str">
        <f>_xlfn.XLOOKUP(B193,product!$A$2:$A$20,product!$B$2:$B$20)</f>
        <v>Printer</v>
      </c>
      <c r="D193" t="str">
        <f>_xlfn.XLOOKUP(C193,product!$B$2:$B$20,product!$C$2:$C$20)</f>
        <v>Peripherals</v>
      </c>
      <c r="E193">
        <v>135</v>
      </c>
      <c r="F193">
        <v>4612</v>
      </c>
      <c r="G193">
        <v>622620</v>
      </c>
      <c r="H193" s="12">
        <v>44753</v>
      </c>
      <c r="I193" t="s">
        <v>233</v>
      </c>
      <c r="J193" t="s">
        <v>234</v>
      </c>
      <c r="K193" t="s">
        <v>248</v>
      </c>
      <c r="L193" t="s">
        <v>259</v>
      </c>
    </row>
    <row r="194" spans="1:12">
      <c r="A194">
        <v>472</v>
      </c>
      <c r="B194" t="s">
        <v>194</v>
      </c>
      <c r="C194" t="str">
        <f>_xlfn.XLOOKUP(B194,product!$A$2:$A$20,product!$B$2:$B$20)</f>
        <v>RAM Module</v>
      </c>
      <c r="D194" t="str">
        <f>_xlfn.XLOOKUP(C194,product!$B$2:$B$20,product!$C$2:$C$20)</f>
        <v>Internal Hardware</v>
      </c>
      <c r="E194">
        <v>169</v>
      </c>
      <c r="F194">
        <v>4048</v>
      </c>
      <c r="G194">
        <v>684112</v>
      </c>
      <c r="H194" s="12">
        <v>44754</v>
      </c>
      <c r="I194" t="s">
        <v>237</v>
      </c>
      <c r="J194" t="s">
        <v>234</v>
      </c>
      <c r="K194" t="s">
        <v>239</v>
      </c>
      <c r="L194" t="s">
        <v>261</v>
      </c>
    </row>
    <row r="195" spans="1:12">
      <c r="A195">
        <v>419</v>
      </c>
      <c r="B195" t="s">
        <v>194</v>
      </c>
      <c r="C195" t="str">
        <f>_xlfn.XLOOKUP(B195,product!$A$2:$A$20,product!$B$2:$B$20)</f>
        <v>RAM Module</v>
      </c>
      <c r="D195" t="str">
        <f>_xlfn.XLOOKUP(C195,product!$B$2:$B$20,product!$C$2:$C$20)</f>
        <v>Internal Hardware</v>
      </c>
      <c r="E195">
        <v>133</v>
      </c>
      <c r="F195">
        <v>2254</v>
      </c>
      <c r="G195">
        <v>299782</v>
      </c>
      <c r="H195" s="12">
        <v>44755</v>
      </c>
      <c r="I195" t="s">
        <v>90</v>
      </c>
      <c r="J195" t="s">
        <v>238</v>
      </c>
      <c r="K195" t="s">
        <v>235</v>
      </c>
      <c r="L195" t="s">
        <v>262</v>
      </c>
    </row>
    <row r="196" spans="1:12">
      <c r="A196">
        <v>394</v>
      </c>
      <c r="B196" t="s">
        <v>203</v>
      </c>
      <c r="C196" t="str">
        <f>_xlfn.XLOOKUP(B196,product!$A$2:$A$20,product!$B$2:$B$20)</f>
        <v>Laptop Stand</v>
      </c>
      <c r="D196" t="str">
        <f>_xlfn.XLOOKUP(C196,product!$B$2:$B$20,product!$C$2:$C$20)</f>
        <v>Laptop Accessories</v>
      </c>
      <c r="E196">
        <v>161</v>
      </c>
      <c r="F196">
        <v>4125</v>
      </c>
      <c r="G196">
        <v>664125</v>
      </c>
      <c r="H196" s="12">
        <v>44756</v>
      </c>
      <c r="I196" t="s">
        <v>243</v>
      </c>
      <c r="J196" t="s">
        <v>238</v>
      </c>
      <c r="K196" t="s">
        <v>235</v>
      </c>
      <c r="L196" t="s">
        <v>263</v>
      </c>
    </row>
    <row r="197" spans="1:12">
      <c r="A197">
        <v>472</v>
      </c>
      <c r="B197" t="s">
        <v>183</v>
      </c>
      <c r="C197" t="str">
        <f>_xlfn.XLOOKUP(B197,product!$A$2:$A$20,product!$B$2:$B$20)</f>
        <v>Mouse</v>
      </c>
      <c r="D197" t="str">
        <f>_xlfn.XLOOKUP(C197,product!$B$2:$B$20,product!$C$2:$C$20)</f>
        <v>Input Device</v>
      </c>
      <c r="E197">
        <v>226</v>
      </c>
      <c r="F197">
        <v>3738</v>
      </c>
      <c r="G197">
        <v>844788</v>
      </c>
      <c r="H197" s="12">
        <v>44757</v>
      </c>
      <c r="I197" t="s">
        <v>245</v>
      </c>
      <c r="J197" t="s">
        <v>238</v>
      </c>
      <c r="K197" t="s">
        <v>248</v>
      </c>
      <c r="L197" t="s">
        <v>236</v>
      </c>
    </row>
    <row r="198" spans="1:12">
      <c r="A198">
        <v>326</v>
      </c>
      <c r="B198" t="s">
        <v>208</v>
      </c>
      <c r="C198" t="str">
        <f>_xlfn.XLOOKUP(B198,product!$A$2:$A$20,product!$B$2:$B$20)</f>
        <v>Headset</v>
      </c>
      <c r="D198" t="str">
        <f>_xlfn.XLOOKUP(C198,product!$B$2:$B$20,product!$C$2:$C$20)</f>
        <v>Audio</v>
      </c>
      <c r="E198">
        <v>129</v>
      </c>
      <c r="F198">
        <v>2430</v>
      </c>
      <c r="G198">
        <v>313470</v>
      </c>
      <c r="H198" s="12">
        <v>44758</v>
      </c>
      <c r="I198" t="s">
        <v>247</v>
      </c>
      <c r="J198" t="s">
        <v>238</v>
      </c>
      <c r="K198" t="s">
        <v>235</v>
      </c>
      <c r="L198" t="s">
        <v>240</v>
      </c>
    </row>
    <row r="199" spans="1:12">
      <c r="A199">
        <v>205</v>
      </c>
      <c r="B199" t="s">
        <v>208</v>
      </c>
      <c r="C199" t="str">
        <f>_xlfn.XLOOKUP(B199,product!$A$2:$A$20,product!$B$2:$B$20)</f>
        <v>Headset</v>
      </c>
      <c r="D199" t="str">
        <f>_xlfn.XLOOKUP(C199,product!$B$2:$B$20,product!$C$2:$C$20)</f>
        <v>Audio</v>
      </c>
      <c r="E199">
        <v>100</v>
      </c>
      <c r="F199">
        <v>4879</v>
      </c>
      <c r="G199">
        <v>487900</v>
      </c>
      <c r="H199" s="12">
        <v>44759</v>
      </c>
      <c r="I199" t="s">
        <v>250</v>
      </c>
      <c r="J199" t="s">
        <v>234</v>
      </c>
      <c r="K199" t="s">
        <v>235</v>
      </c>
      <c r="L199" t="s">
        <v>242</v>
      </c>
    </row>
    <row r="200" spans="1:12">
      <c r="A200">
        <v>259</v>
      </c>
      <c r="B200" t="s">
        <v>208</v>
      </c>
      <c r="C200" t="str">
        <f>_xlfn.XLOOKUP(B200,product!$A$2:$A$20,product!$B$2:$B$20)</f>
        <v>Headset</v>
      </c>
      <c r="D200" t="str">
        <f>_xlfn.XLOOKUP(C200,product!$B$2:$B$20,product!$C$2:$C$20)</f>
        <v>Audio</v>
      </c>
      <c r="E200">
        <v>139</v>
      </c>
      <c r="F200">
        <v>2717</v>
      </c>
      <c r="G200">
        <v>377663</v>
      </c>
      <c r="H200" s="12">
        <v>44760</v>
      </c>
      <c r="I200" t="s">
        <v>64</v>
      </c>
      <c r="J200" t="s">
        <v>241</v>
      </c>
      <c r="K200" t="s">
        <v>248</v>
      </c>
      <c r="L200" t="s">
        <v>244</v>
      </c>
    </row>
    <row r="201" spans="1:12">
      <c r="A201">
        <v>207</v>
      </c>
      <c r="B201" t="s">
        <v>183</v>
      </c>
      <c r="C201" t="str">
        <f>_xlfn.XLOOKUP(B201,product!$A$2:$A$20,product!$B$2:$B$20)</f>
        <v>Mouse</v>
      </c>
      <c r="D201" t="str">
        <f>_xlfn.XLOOKUP(C201,product!$B$2:$B$20,product!$C$2:$C$20)</f>
        <v>Input Device</v>
      </c>
      <c r="E201">
        <v>120</v>
      </c>
      <c r="F201">
        <v>2093</v>
      </c>
      <c r="G201">
        <v>251160</v>
      </c>
      <c r="H201" s="12">
        <v>44761</v>
      </c>
      <c r="I201" t="s">
        <v>254</v>
      </c>
      <c r="J201" t="s">
        <v>241</v>
      </c>
      <c r="K201" t="s">
        <v>235</v>
      </c>
      <c r="L201" t="s">
        <v>246</v>
      </c>
    </row>
    <row r="202" spans="1:12">
      <c r="A202">
        <v>376</v>
      </c>
      <c r="B202" t="s">
        <v>203</v>
      </c>
      <c r="C202" t="str">
        <f>_xlfn.XLOOKUP(B202,product!$A$2:$A$20,product!$B$2:$B$20)</f>
        <v>Laptop Stand</v>
      </c>
      <c r="D202" t="str">
        <f>_xlfn.XLOOKUP(C202,product!$B$2:$B$20,product!$C$2:$C$20)</f>
        <v>Laptop Accessories</v>
      </c>
      <c r="E202">
        <v>187</v>
      </c>
      <c r="F202">
        <v>2215</v>
      </c>
      <c r="G202">
        <v>414205</v>
      </c>
      <c r="H202" s="12">
        <v>44762</v>
      </c>
      <c r="I202" t="s">
        <v>256</v>
      </c>
      <c r="J202" t="s">
        <v>234</v>
      </c>
      <c r="K202" t="s">
        <v>235</v>
      </c>
      <c r="L202" t="s">
        <v>249</v>
      </c>
    </row>
    <row r="203" spans="1:12">
      <c r="A203">
        <v>421</v>
      </c>
      <c r="B203" t="s">
        <v>196</v>
      </c>
      <c r="C203" t="str">
        <f>_xlfn.XLOOKUP(B203,product!$A$2:$A$20,product!$B$2:$B$20)</f>
        <v>SSD</v>
      </c>
      <c r="D203" t="str">
        <f>_xlfn.XLOOKUP(C203,product!$B$2:$B$20,product!$C$2:$C$20)</f>
        <v>Internal Hardware</v>
      </c>
      <c r="E203">
        <v>204</v>
      </c>
      <c r="F203">
        <v>3371</v>
      </c>
      <c r="G203">
        <v>687684</v>
      </c>
      <c r="H203" s="12">
        <v>44763</v>
      </c>
      <c r="I203" t="s">
        <v>258</v>
      </c>
      <c r="J203" t="s">
        <v>238</v>
      </c>
      <c r="K203" t="s">
        <v>239</v>
      </c>
      <c r="L203" t="s">
        <v>251</v>
      </c>
    </row>
    <row r="204" spans="1:12">
      <c r="A204">
        <v>340</v>
      </c>
      <c r="B204" t="s">
        <v>217</v>
      </c>
      <c r="C204" t="str">
        <f>_xlfn.XLOOKUP(B204,product!$A$2:$A$20,product!$B$2:$B$20)</f>
        <v>Wireless Router</v>
      </c>
      <c r="D204" t="str">
        <f>_xlfn.XLOOKUP(C204,product!$B$2:$B$20,product!$C$2:$C$20)</f>
        <v>Network</v>
      </c>
      <c r="E204">
        <v>210</v>
      </c>
      <c r="F204">
        <v>2223</v>
      </c>
      <c r="G204">
        <v>466830</v>
      </c>
      <c r="H204" s="12">
        <v>44764</v>
      </c>
      <c r="I204" t="s">
        <v>260</v>
      </c>
      <c r="J204" t="s">
        <v>241</v>
      </c>
      <c r="K204" t="s">
        <v>235</v>
      </c>
      <c r="L204" t="s">
        <v>252</v>
      </c>
    </row>
    <row r="205" spans="1:12">
      <c r="A205">
        <v>341</v>
      </c>
      <c r="B205" t="s">
        <v>189</v>
      </c>
      <c r="C205" t="str">
        <f>_xlfn.XLOOKUP(B205,product!$A$2:$A$20,product!$B$2:$B$20)</f>
        <v>Monitor</v>
      </c>
      <c r="D205" t="str">
        <f>_xlfn.XLOOKUP(C205,product!$B$2:$B$20,product!$C$2:$C$20)</f>
        <v>Display</v>
      </c>
      <c r="E205">
        <v>199</v>
      </c>
      <c r="F205">
        <v>2938</v>
      </c>
      <c r="G205">
        <v>584662</v>
      </c>
      <c r="H205" s="12">
        <v>44765</v>
      </c>
      <c r="I205" t="s">
        <v>233</v>
      </c>
      <c r="J205" t="s">
        <v>234</v>
      </c>
      <c r="K205" t="s">
        <v>239</v>
      </c>
      <c r="L205" t="s">
        <v>253</v>
      </c>
    </row>
    <row r="206" spans="1:12">
      <c r="A206">
        <v>347</v>
      </c>
      <c r="B206" t="s">
        <v>203</v>
      </c>
      <c r="C206" t="str">
        <f>_xlfn.XLOOKUP(B206,product!$A$2:$A$20,product!$B$2:$B$20)</f>
        <v>Laptop Stand</v>
      </c>
      <c r="D206" t="str">
        <f>_xlfn.XLOOKUP(C206,product!$B$2:$B$20,product!$C$2:$C$20)</f>
        <v>Laptop Accessories</v>
      </c>
      <c r="E206">
        <v>104</v>
      </c>
      <c r="F206">
        <v>2782</v>
      </c>
      <c r="G206">
        <v>289328</v>
      </c>
      <c r="H206" s="12">
        <v>44766</v>
      </c>
      <c r="I206" t="s">
        <v>237</v>
      </c>
      <c r="J206" t="s">
        <v>234</v>
      </c>
      <c r="K206" t="s">
        <v>235</v>
      </c>
      <c r="L206" t="s">
        <v>255</v>
      </c>
    </row>
    <row r="207" spans="1:12">
      <c r="A207">
        <v>345</v>
      </c>
      <c r="B207" t="s">
        <v>191</v>
      </c>
      <c r="C207" t="str">
        <f>_xlfn.XLOOKUP(B207,product!$A$2:$A$20,product!$B$2:$B$20)</f>
        <v>Graphics Card</v>
      </c>
      <c r="D207" t="str">
        <f>_xlfn.XLOOKUP(C207,product!$B$2:$B$20,product!$C$2:$C$20)</f>
        <v>Internal Hardware</v>
      </c>
      <c r="E207">
        <v>206</v>
      </c>
      <c r="F207">
        <v>2624</v>
      </c>
      <c r="G207">
        <v>540544</v>
      </c>
      <c r="H207" s="12">
        <v>44767</v>
      </c>
      <c r="I207" t="s">
        <v>90</v>
      </c>
      <c r="J207" t="s">
        <v>238</v>
      </c>
      <c r="K207" t="s">
        <v>248</v>
      </c>
      <c r="L207" t="s">
        <v>257</v>
      </c>
    </row>
    <row r="208" spans="1:12">
      <c r="A208">
        <v>205</v>
      </c>
      <c r="B208" t="s">
        <v>181</v>
      </c>
      <c r="C208" t="str">
        <f>_xlfn.XLOOKUP(B208,product!$A$2:$A$20,product!$B$2:$B$20)</f>
        <v>Keyboard</v>
      </c>
      <c r="D208" t="str">
        <f>_xlfn.XLOOKUP(C208,product!$B$2:$B$20,product!$C$2:$C$20)</f>
        <v>Input Device</v>
      </c>
      <c r="E208">
        <v>264</v>
      </c>
      <c r="F208">
        <v>4391</v>
      </c>
      <c r="G208">
        <v>1159224</v>
      </c>
      <c r="H208" s="12">
        <v>44768</v>
      </c>
      <c r="I208" t="s">
        <v>243</v>
      </c>
      <c r="J208" t="s">
        <v>234</v>
      </c>
      <c r="K208" t="s">
        <v>239</v>
      </c>
      <c r="L208" t="s">
        <v>259</v>
      </c>
    </row>
    <row r="209" spans="1:12">
      <c r="A209">
        <v>473</v>
      </c>
      <c r="B209" t="s">
        <v>189</v>
      </c>
      <c r="C209" t="str">
        <f>_xlfn.XLOOKUP(B209,product!$A$2:$A$20,product!$B$2:$B$20)</f>
        <v>Monitor</v>
      </c>
      <c r="D209" t="str">
        <f>_xlfn.XLOOKUP(C209,product!$B$2:$B$20,product!$C$2:$C$20)</f>
        <v>Display</v>
      </c>
      <c r="E209">
        <v>201</v>
      </c>
      <c r="F209">
        <v>3315</v>
      </c>
      <c r="G209">
        <v>666315</v>
      </c>
      <c r="H209" s="12">
        <v>44769</v>
      </c>
      <c r="I209" t="s">
        <v>245</v>
      </c>
      <c r="J209" t="s">
        <v>238</v>
      </c>
      <c r="K209" t="s">
        <v>235</v>
      </c>
      <c r="L209" t="s">
        <v>261</v>
      </c>
    </row>
    <row r="210" spans="1:12">
      <c r="A210">
        <v>362</v>
      </c>
      <c r="B210" t="s">
        <v>183</v>
      </c>
      <c r="C210" t="str">
        <f>_xlfn.XLOOKUP(B210,product!$A$2:$A$20,product!$B$2:$B$20)</f>
        <v>Mouse</v>
      </c>
      <c r="D210" t="str">
        <f>_xlfn.XLOOKUP(C210,product!$B$2:$B$20,product!$C$2:$C$20)</f>
        <v>Input Device</v>
      </c>
      <c r="E210">
        <v>160</v>
      </c>
      <c r="F210">
        <v>4184</v>
      </c>
      <c r="G210">
        <v>669440</v>
      </c>
      <c r="H210" s="12">
        <v>44770</v>
      </c>
      <c r="I210" t="s">
        <v>247</v>
      </c>
      <c r="J210" t="s">
        <v>234</v>
      </c>
      <c r="K210" t="s">
        <v>248</v>
      </c>
      <c r="L210" t="s">
        <v>262</v>
      </c>
    </row>
    <row r="211" spans="1:12">
      <c r="A211">
        <v>369</v>
      </c>
      <c r="B211" t="s">
        <v>208</v>
      </c>
      <c r="C211" t="str">
        <f>_xlfn.XLOOKUP(B211,product!$A$2:$A$20,product!$B$2:$B$20)</f>
        <v>Headset</v>
      </c>
      <c r="D211" t="str">
        <f>_xlfn.XLOOKUP(C211,product!$B$2:$B$20,product!$C$2:$C$20)</f>
        <v>Audio</v>
      </c>
      <c r="E211">
        <v>193</v>
      </c>
      <c r="F211">
        <v>4513</v>
      </c>
      <c r="G211">
        <v>871009</v>
      </c>
      <c r="H211" s="12">
        <v>44771</v>
      </c>
      <c r="I211" t="s">
        <v>250</v>
      </c>
      <c r="J211" t="s">
        <v>234</v>
      </c>
      <c r="K211" t="s">
        <v>239</v>
      </c>
      <c r="L211" t="s">
        <v>263</v>
      </c>
    </row>
    <row r="212" spans="1:12">
      <c r="A212">
        <v>443</v>
      </c>
      <c r="B212" t="s">
        <v>184</v>
      </c>
      <c r="C212" t="str">
        <f>_xlfn.XLOOKUP(B212,product!$A$2:$A$20,product!$B$2:$B$20)</f>
        <v>Hard Drive</v>
      </c>
      <c r="D212" t="str">
        <f>_xlfn.XLOOKUP(C212,product!$B$2:$B$20,product!$C$2:$C$20)</f>
        <v>Storage</v>
      </c>
      <c r="E212">
        <v>104</v>
      </c>
      <c r="F212">
        <v>2467</v>
      </c>
      <c r="G212">
        <v>256568</v>
      </c>
      <c r="H212" s="12">
        <v>44772</v>
      </c>
      <c r="I212" t="s">
        <v>64</v>
      </c>
      <c r="J212" t="s">
        <v>238</v>
      </c>
      <c r="K212" t="s">
        <v>248</v>
      </c>
      <c r="L212" t="s">
        <v>236</v>
      </c>
    </row>
    <row r="213" spans="1:12">
      <c r="A213">
        <v>487</v>
      </c>
      <c r="B213" t="s">
        <v>189</v>
      </c>
      <c r="C213" t="str">
        <f>_xlfn.XLOOKUP(B213,product!$A$2:$A$20,product!$B$2:$B$20)</f>
        <v>Monitor</v>
      </c>
      <c r="D213" t="str">
        <f>_xlfn.XLOOKUP(C213,product!$B$2:$B$20,product!$C$2:$C$20)</f>
        <v>Display</v>
      </c>
      <c r="E213">
        <v>129</v>
      </c>
      <c r="F213">
        <v>2378</v>
      </c>
      <c r="G213">
        <v>306762</v>
      </c>
      <c r="H213" s="12">
        <v>44773</v>
      </c>
      <c r="I213" t="s">
        <v>245</v>
      </c>
      <c r="J213" t="s">
        <v>241</v>
      </c>
      <c r="K213" t="s">
        <v>235</v>
      </c>
      <c r="L213" t="s">
        <v>240</v>
      </c>
    </row>
    <row r="214" spans="1:12">
      <c r="A214">
        <v>230</v>
      </c>
      <c r="B214" t="s">
        <v>215</v>
      </c>
      <c r="C214" t="str">
        <f>_xlfn.XLOOKUP(B214,product!$A$2:$A$20,product!$B$2:$B$20)</f>
        <v>Speakers</v>
      </c>
      <c r="D214" t="str">
        <f>_xlfn.XLOOKUP(C214,product!$B$2:$B$20,product!$C$2:$C$20)</f>
        <v>Audio</v>
      </c>
      <c r="E214">
        <v>105</v>
      </c>
      <c r="F214">
        <v>2682</v>
      </c>
      <c r="G214">
        <v>281610</v>
      </c>
      <c r="H214" s="12">
        <v>44774</v>
      </c>
      <c r="I214" t="s">
        <v>247</v>
      </c>
      <c r="J214" t="s">
        <v>234</v>
      </c>
      <c r="K214" t="s">
        <v>248</v>
      </c>
      <c r="L214" t="s">
        <v>242</v>
      </c>
    </row>
    <row r="215" spans="1:12">
      <c r="A215">
        <v>414</v>
      </c>
      <c r="B215" t="s">
        <v>213</v>
      </c>
      <c r="C215" t="str">
        <f>_xlfn.XLOOKUP(B215,product!$A$2:$A$20,product!$B$2:$B$20)</f>
        <v>Scanner</v>
      </c>
      <c r="D215" t="str">
        <f>_xlfn.XLOOKUP(C215,product!$B$2:$B$20,product!$C$2:$C$20)</f>
        <v>Peripherals</v>
      </c>
      <c r="E215">
        <v>258</v>
      </c>
      <c r="F215">
        <v>2073</v>
      </c>
      <c r="G215">
        <v>534834</v>
      </c>
      <c r="H215" s="12">
        <v>44775</v>
      </c>
      <c r="I215" t="s">
        <v>250</v>
      </c>
      <c r="J215" t="s">
        <v>238</v>
      </c>
      <c r="K215" t="s">
        <v>235</v>
      </c>
      <c r="L215" t="s">
        <v>244</v>
      </c>
    </row>
    <row r="216" spans="1:12">
      <c r="A216">
        <v>477</v>
      </c>
      <c r="B216" t="s">
        <v>215</v>
      </c>
      <c r="C216" t="str">
        <f>_xlfn.XLOOKUP(B216,product!$A$2:$A$20,product!$B$2:$B$20)</f>
        <v>Speakers</v>
      </c>
      <c r="D216" t="str">
        <f>_xlfn.XLOOKUP(C216,product!$B$2:$B$20,product!$C$2:$C$20)</f>
        <v>Audio</v>
      </c>
      <c r="E216">
        <v>263</v>
      </c>
      <c r="F216">
        <v>2670</v>
      </c>
      <c r="G216">
        <v>702210</v>
      </c>
      <c r="H216" s="12">
        <v>44776</v>
      </c>
      <c r="I216" t="s">
        <v>64</v>
      </c>
      <c r="J216" t="s">
        <v>238</v>
      </c>
      <c r="K216" t="s">
        <v>248</v>
      </c>
      <c r="L216" t="s">
        <v>246</v>
      </c>
    </row>
    <row r="217" spans="1:12">
      <c r="A217">
        <v>454</v>
      </c>
      <c r="B217" t="s">
        <v>191</v>
      </c>
      <c r="C217" t="str">
        <f>_xlfn.XLOOKUP(B217,product!$A$2:$A$20,product!$B$2:$B$20)</f>
        <v>Graphics Card</v>
      </c>
      <c r="D217" t="str">
        <f>_xlfn.XLOOKUP(C217,product!$B$2:$B$20,product!$C$2:$C$20)</f>
        <v>Internal Hardware</v>
      </c>
      <c r="E217">
        <v>188</v>
      </c>
      <c r="F217">
        <v>2075</v>
      </c>
      <c r="G217">
        <v>390100</v>
      </c>
      <c r="H217" s="12">
        <v>44777</v>
      </c>
      <c r="I217" t="s">
        <v>59</v>
      </c>
      <c r="J217" t="s">
        <v>234</v>
      </c>
      <c r="K217" t="s">
        <v>235</v>
      </c>
      <c r="L217" t="s">
        <v>249</v>
      </c>
    </row>
    <row r="218" spans="1:12">
      <c r="A218">
        <v>396</v>
      </c>
      <c r="B218" t="s">
        <v>211</v>
      </c>
      <c r="C218" t="str">
        <f>_xlfn.XLOOKUP(B218,product!$A$2:$A$20,product!$B$2:$B$20)</f>
        <v>Printer</v>
      </c>
      <c r="D218" t="str">
        <f>_xlfn.XLOOKUP(C218,product!$B$2:$B$20,product!$C$2:$C$20)</f>
        <v>Peripherals</v>
      </c>
      <c r="E218">
        <v>159</v>
      </c>
      <c r="F218">
        <v>2704</v>
      </c>
      <c r="G218">
        <v>429936</v>
      </c>
      <c r="H218" s="12">
        <v>44778</v>
      </c>
      <c r="I218" t="s">
        <v>254</v>
      </c>
      <c r="J218" t="s">
        <v>238</v>
      </c>
      <c r="K218" t="s">
        <v>248</v>
      </c>
      <c r="L218" t="s">
        <v>251</v>
      </c>
    </row>
    <row r="219" spans="1:12">
      <c r="A219">
        <v>217</v>
      </c>
      <c r="B219" t="s">
        <v>220</v>
      </c>
      <c r="C219" t="str">
        <f>_xlfn.XLOOKUP(B219,product!$A$2:$A$20,product!$B$2:$B$20)</f>
        <v>Ethernet Cable</v>
      </c>
      <c r="D219" t="str">
        <f>_xlfn.XLOOKUP(C219,product!$B$2:$B$20,product!$C$2:$C$20)</f>
        <v>Cables &amp; Connectors</v>
      </c>
      <c r="E219">
        <v>266</v>
      </c>
      <c r="F219">
        <v>2035</v>
      </c>
      <c r="G219">
        <v>541310</v>
      </c>
      <c r="H219" s="12">
        <v>44779</v>
      </c>
      <c r="I219" t="s">
        <v>256</v>
      </c>
      <c r="J219" t="s">
        <v>234</v>
      </c>
      <c r="K219" t="s">
        <v>248</v>
      </c>
      <c r="L219" t="s">
        <v>252</v>
      </c>
    </row>
    <row r="220" spans="1:12">
      <c r="A220">
        <v>408</v>
      </c>
      <c r="B220" t="s">
        <v>220</v>
      </c>
      <c r="C220" t="str">
        <f>_xlfn.XLOOKUP(B220,product!$A$2:$A$20,product!$B$2:$B$20)</f>
        <v>Ethernet Cable</v>
      </c>
      <c r="D220" t="str">
        <f>_xlfn.XLOOKUP(C220,product!$B$2:$B$20,product!$C$2:$C$20)</f>
        <v>Cables &amp; Connectors</v>
      </c>
      <c r="E220">
        <v>120</v>
      </c>
      <c r="F220">
        <v>2989</v>
      </c>
      <c r="G220">
        <v>358680</v>
      </c>
      <c r="H220" s="12">
        <v>44780</v>
      </c>
      <c r="I220" t="s">
        <v>258</v>
      </c>
      <c r="J220" t="s">
        <v>238</v>
      </c>
      <c r="K220" t="s">
        <v>248</v>
      </c>
      <c r="L220" t="s">
        <v>253</v>
      </c>
    </row>
    <row r="221" spans="1:12">
      <c r="A221">
        <v>384</v>
      </c>
      <c r="B221" t="s">
        <v>215</v>
      </c>
      <c r="C221" t="str">
        <f>_xlfn.XLOOKUP(B221,product!$A$2:$A$20,product!$B$2:$B$20)</f>
        <v>Speakers</v>
      </c>
      <c r="D221" t="str">
        <f>_xlfn.XLOOKUP(C221,product!$B$2:$B$20,product!$C$2:$C$20)</f>
        <v>Audio</v>
      </c>
      <c r="E221">
        <v>230</v>
      </c>
      <c r="F221">
        <v>4806</v>
      </c>
      <c r="G221">
        <v>1105380</v>
      </c>
      <c r="H221" s="12">
        <v>44781</v>
      </c>
      <c r="I221" t="s">
        <v>260</v>
      </c>
      <c r="J221" t="s">
        <v>238</v>
      </c>
      <c r="K221" t="s">
        <v>235</v>
      </c>
      <c r="L221" t="s">
        <v>255</v>
      </c>
    </row>
    <row r="222" spans="1:12">
      <c r="A222">
        <v>294</v>
      </c>
      <c r="B222" t="s">
        <v>222</v>
      </c>
      <c r="C222" t="str">
        <f>_xlfn.XLOOKUP(B222,product!$A$2:$A$20,product!$B$2:$B$20)</f>
        <v>Laptop Bag</v>
      </c>
      <c r="D222" t="str">
        <f>_xlfn.XLOOKUP(C222,product!$B$2:$B$20,product!$C$2:$C$20)</f>
        <v>Laptop Accessories</v>
      </c>
      <c r="E222">
        <v>192</v>
      </c>
      <c r="F222">
        <v>4280</v>
      </c>
      <c r="G222">
        <v>821760</v>
      </c>
      <c r="H222" s="12">
        <v>44782</v>
      </c>
      <c r="I222" t="s">
        <v>233</v>
      </c>
      <c r="J222" t="s">
        <v>238</v>
      </c>
      <c r="K222" t="s">
        <v>248</v>
      </c>
      <c r="L222" t="s">
        <v>257</v>
      </c>
    </row>
    <row r="223" spans="1:12">
      <c r="A223">
        <v>226</v>
      </c>
      <c r="B223" t="s">
        <v>206</v>
      </c>
      <c r="C223" t="str">
        <f>_xlfn.XLOOKUP(B223,product!$A$2:$A$20,product!$B$2:$B$20)</f>
        <v>Cooling Pad</v>
      </c>
      <c r="D223" t="str">
        <f>_xlfn.XLOOKUP(C223,product!$B$2:$B$20,product!$C$2:$C$20)</f>
        <v>Laptop Accessories</v>
      </c>
      <c r="E223">
        <v>127</v>
      </c>
      <c r="F223">
        <v>2763</v>
      </c>
      <c r="G223">
        <v>350901</v>
      </c>
      <c r="H223" s="12">
        <v>44783</v>
      </c>
      <c r="I223" t="s">
        <v>237</v>
      </c>
      <c r="J223" t="s">
        <v>241</v>
      </c>
      <c r="K223" t="s">
        <v>239</v>
      </c>
      <c r="L223" t="s">
        <v>259</v>
      </c>
    </row>
    <row r="224" spans="1:12">
      <c r="A224">
        <v>404</v>
      </c>
      <c r="B224" t="s">
        <v>201</v>
      </c>
      <c r="C224" t="str">
        <f>_xlfn.XLOOKUP(B224,product!$A$2:$A$20,product!$B$2:$B$20)</f>
        <v>Webcam</v>
      </c>
      <c r="D224" t="str">
        <f>_xlfn.XLOOKUP(C224,product!$B$2:$B$20,product!$C$2:$C$20)</f>
        <v>Peripherals</v>
      </c>
      <c r="E224">
        <v>182</v>
      </c>
      <c r="F224">
        <v>3158</v>
      </c>
      <c r="G224">
        <v>574756</v>
      </c>
      <c r="H224" s="12">
        <v>44784</v>
      </c>
      <c r="I224" t="s">
        <v>90</v>
      </c>
      <c r="J224" t="s">
        <v>234</v>
      </c>
      <c r="K224" t="s">
        <v>239</v>
      </c>
      <c r="L224" t="s">
        <v>261</v>
      </c>
    </row>
    <row r="225" spans="1:12">
      <c r="A225">
        <v>373</v>
      </c>
      <c r="B225" t="s">
        <v>215</v>
      </c>
      <c r="C225" t="str">
        <f>_xlfn.XLOOKUP(B225,product!$A$2:$A$20,product!$B$2:$B$20)</f>
        <v>Speakers</v>
      </c>
      <c r="D225" t="str">
        <f>_xlfn.XLOOKUP(C225,product!$B$2:$B$20,product!$C$2:$C$20)</f>
        <v>Audio</v>
      </c>
      <c r="E225">
        <v>250</v>
      </c>
      <c r="F225">
        <v>3210</v>
      </c>
      <c r="G225">
        <v>802500</v>
      </c>
      <c r="H225" s="12">
        <v>44785</v>
      </c>
      <c r="I225" t="s">
        <v>243</v>
      </c>
      <c r="J225" t="s">
        <v>241</v>
      </c>
      <c r="K225" t="s">
        <v>239</v>
      </c>
      <c r="L225" t="s">
        <v>262</v>
      </c>
    </row>
    <row r="226" spans="1:12">
      <c r="A226">
        <v>385</v>
      </c>
      <c r="B226" t="s">
        <v>208</v>
      </c>
      <c r="C226" t="str">
        <f>_xlfn.XLOOKUP(B226,product!$A$2:$A$20,product!$B$2:$B$20)</f>
        <v>Headset</v>
      </c>
      <c r="D226" t="str">
        <f>_xlfn.XLOOKUP(C226,product!$B$2:$B$20,product!$C$2:$C$20)</f>
        <v>Audio</v>
      </c>
      <c r="E226">
        <v>136</v>
      </c>
      <c r="F226">
        <v>3310</v>
      </c>
      <c r="G226">
        <v>450160</v>
      </c>
      <c r="H226" s="12">
        <v>44786</v>
      </c>
      <c r="I226" t="s">
        <v>245</v>
      </c>
      <c r="J226" t="s">
        <v>234</v>
      </c>
      <c r="K226" t="s">
        <v>235</v>
      </c>
      <c r="L226" t="s">
        <v>263</v>
      </c>
    </row>
    <row r="227" spans="1:12">
      <c r="A227">
        <v>424</v>
      </c>
      <c r="B227" t="s">
        <v>194</v>
      </c>
      <c r="C227" t="str">
        <f>_xlfn.XLOOKUP(B227,product!$A$2:$A$20,product!$B$2:$B$20)</f>
        <v>RAM Module</v>
      </c>
      <c r="D227" t="str">
        <f>_xlfn.XLOOKUP(C227,product!$B$2:$B$20,product!$C$2:$C$20)</f>
        <v>Internal Hardware</v>
      </c>
      <c r="E227">
        <v>223</v>
      </c>
      <c r="F227">
        <v>2730</v>
      </c>
      <c r="G227">
        <v>608790</v>
      </c>
      <c r="H227" s="12">
        <v>44787</v>
      </c>
      <c r="I227" t="s">
        <v>247</v>
      </c>
      <c r="J227" t="s">
        <v>234</v>
      </c>
      <c r="K227" t="s">
        <v>235</v>
      </c>
      <c r="L227" t="s">
        <v>236</v>
      </c>
    </row>
    <row r="228" spans="1:12">
      <c r="A228">
        <v>290</v>
      </c>
      <c r="B228" t="s">
        <v>196</v>
      </c>
      <c r="C228" t="str">
        <f>_xlfn.XLOOKUP(B228,product!$A$2:$A$20,product!$B$2:$B$20)</f>
        <v>SSD</v>
      </c>
      <c r="D228" t="str">
        <f>_xlfn.XLOOKUP(C228,product!$B$2:$B$20,product!$C$2:$C$20)</f>
        <v>Internal Hardware</v>
      </c>
      <c r="E228">
        <v>284</v>
      </c>
      <c r="F228">
        <v>4678</v>
      </c>
      <c r="G228">
        <v>1328552</v>
      </c>
      <c r="H228" s="12">
        <v>44788</v>
      </c>
      <c r="I228" t="s">
        <v>250</v>
      </c>
      <c r="J228" t="s">
        <v>234</v>
      </c>
      <c r="K228" t="s">
        <v>248</v>
      </c>
      <c r="L228" t="s">
        <v>240</v>
      </c>
    </row>
    <row r="229" spans="1:12">
      <c r="A229">
        <v>323</v>
      </c>
      <c r="B229" t="s">
        <v>220</v>
      </c>
      <c r="C229" t="str">
        <f>_xlfn.XLOOKUP(B229,product!$A$2:$A$20,product!$B$2:$B$20)</f>
        <v>Ethernet Cable</v>
      </c>
      <c r="D229" t="str">
        <f>_xlfn.XLOOKUP(C229,product!$B$2:$B$20,product!$C$2:$C$20)</f>
        <v>Cables &amp; Connectors</v>
      </c>
      <c r="E229">
        <v>170</v>
      </c>
      <c r="F229">
        <v>4004</v>
      </c>
      <c r="G229">
        <v>680680</v>
      </c>
      <c r="H229" s="12">
        <v>44789</v>
      </c>
      <c r="I229" t="s">
        <v>64</v>
      </c>
      <c r="J229" t="s">
        <v>241</v>
      </c>
      <c r="K229" t="s">
        <v>235</v>
      </c>
      <c r="L229" t="s">
        <v>242</v>
      </c>
    </row>
    <row r="230" spans="1:12">
      <c r="A230">
        <v>495</v>
      </c>
      <c r="B230" t="s">
        <v>208</v>
      </c>
      <c r="C230" t="str">
        <f>_xlfn.XLOOKUP(B230,product!$A$2:$A$20,product!$B$2:$B$20)</f>
        <v>Headset</v>
      </c>
      <c r="D230" t="str">
        <f>_xlfn.XLOOKUP(C230,product!$B$2:$B$20,product!$C$2:$C$20)</f>
        <v>Audio</v>
      </c>
      <c r="E230">
        <v>177</v>
      </c>
      <c r="F230">
        <v>4264</v>
      </c>
      <c r="G230">
        <v>754728</v>
      </c>
      <c r="H230" s="12">
        <v>44790</v>
      </c>
      <c r="I230" t="s">
        <v>254</v>
      </c>
      <c r="J230" t="s">
        <v>234</v>
      </c>
      <c r="K230" t="s">
        <v>239</v>
      </c>
      <c r="L230" t="s">
        <v>244</v>
      </c>
    </row>
    <row r="231" spans="1:12">
      <c r="A231">
        <v>222</v>
      </c>
      <c r="B231" t="s">
        <v>211</v>
      </c>
      <c r="C231" t="str">
        <f>_xlfn.XLOOKUP(B231,product!$A$2:$A$20,product!$B$2:$B$20)</f>
        <v>Printer</v>
      </c>
      <c r="D231" t="str">
        <f>_xlfn.XLOOKUP(C231,product!$B$2:$B$20,product!$C$2:$C$20)</f>
        <v>Peripherals</v>
      </c>
      <c r="E231">
        <v>298</v>
      </c>
      <c r="F231">
        <v>4765</v>
      </c>
      <c r="G231">
        <v>1419970</v>
      </c>
      <c r="H231" s="12">
        <v>44791</v>
      </c>
      <c r="I231" t="s">
        <v>256</v>
      </c>
      <c r="J231" t="s">
        <v>238</v>
      </c>
      <c r="K231" t="s">
        <v>235</v>
      </c>
      <c r="L231" t="s">
        <v>246</v>
      </c>
    </row>
    <row r="232" spans="1:12">
      <c r="A232">
        <v>492</v>
      </c>
      <c r="B232" t="s">
        <v>220</v>
      </c>
      <c r="C232" t="str">
        <f>_xlfn.XLOOKUP(B232,product!$A$2:$A$20,product!$B$2:$B$20)</f>
        <v>Ethernet Cable</v>
      </c>
      <c r="D232" t="str">
        <f>_xlfn.XLOOKUP(C232,product!$B$2:$B$20,product!$C$2:$C$20)</f>
        <v>Cables &amp; Connectors</v>
      </c>
      <c r="E232">
        <v>137</v>
      </c>
      <c r="F232">
        <v>3541</v>
      </c>
      <c r="G232">
        <v>485117</v>
      </c>
      <c r="H232" s="12">
        <v>44792</v>
      </c>
      <c r="I232" t="s">
        <v>258</v>
      </c>
      <c r="J232" t="s">
        <v>241</v>
      </c>
      <c r="K232" t="s">
        <v>248</v>
      </c>
      <c r="L232" t="s">
        <v>249</v>
      </c>
    </row>
    <row r="233" spans="1:12">
      <c r="A233">
        <v>494</v>
      </c>
      <c r="B233" t="s">
        <v>198</v>
      </c>
      <c r="C233" t="str">
        <f>_xlfn.XLOOKUP(B233,product!$A$2:$A$20,product!$B$2:$B$20)</f>
        <v>HDMI Cable</v>
      </c>
      <c r="D233" t="str">
        <f>_xlfn.XLOOKUP(C233,product!$B$2:$B$20,product!$C$2:$C$20)</f>
        <v>Cables &amp; Connectors</v>
      </c>
      <c r="E233">
        <v>162</v>
      </c>
      <c r="F233">
        <v>2755</v>
      </c>
      <c r="G233">
        <v>446310</v>
      </c>
      <c r="H233" s="12">
        <v>44793</v>
      </c>
      <c r="I233" t="s">
        <v>260</v>
      </c>
      <c r="J233" t="s">
        <v>241</v>
      </c>
      <c r="K233" t="s">
        <v>239</v>
      </c>
      <c r="L233" t="s">
        <v>251</v>
      </c>
    </row>
    <row r="234" spans="1:12">
      <c r="A234">
        <v>232</v>
      </c>
      <c r="B234" t="s">
        <v>184</v>
      </c>
      <c r="C234" t="str">
        <f>_xlfn.XLOOKUP(B234,product!$A$2:$A$20,product!$B$2:$B$20)</f>
        <v>Hard Drive</v>
      </c>
      <c r="D234" t="str">
        <f>_xlfn.XLOOKUP(C234,product!$B$2:$B$20,product!$C$2:$C$20)</f>
        <v>Storage</v>
      </c>
      <c r="E234">
        <v>252</v>
      </c>
      <c r="F234">
        <v>4217</v>
      </c>
      <c r="G234">
        <v>1062684</v>
      </c>
      <c r="H234" s="12">
        <v>44794</v>
      </c>
      <c r="I234" t="s">
        <v>233</v>
      </c>
      <c r="J234" t="s">
        <v>238</v>
      </c>
      <c r="K234" t="s">
        <v>248</v>
      </c>
      <c r="L234" t="s">
        <v>252</v>
      </c>
    </row>
    <row r="235" spans="1:12">
      <c r="A235">
        <v>349</v>
      </c>
      <c r="B235" t="s">
        <v>189</v>
      </c>
      <c r="C235" t="str">
        <f>_xlfn.XLOOKUP(B235,product!$A$2:$A$20,product!$B$2:$B$20)</f>
        <v>Monitor</v>
      </c>
      <c r="D235" t="str">
        <f>_xlfn.XLOOKUP(C235,product!$B$2:$B$20,product!$C$2:$C$20)</f>
        <v>Display</v>
      </c>
      <c r="E235">
        <v>255</v>
      </c>
      <c r="F235">
        <v>2677</v>
      </c>
      <c r="G235">
        <v>682635</v>
      </c>
      <c r="H235" s="12">
        <v>44795</v>
      </c>
      <c r="I235" t="s">
        <v>237</v>
      </c>
      <c r="J235" t="s">
        <v>234</v>
      </c>
      <c r="K235" t="s">
        <v>239</v>
      </c>
      <c r="L235" t="s">
        <v>253</v>
      </c>
    </row>
    <row r="236" spans="1:12">
      <c r="A236">
        <v>413</v>
      </c>
      <c r="B236" t="s">
        <v>194</v>
      </c>
      <c r="C236" t="str">
        <f>_xlfn.XLOOKUP(B236,product!$A$2:$A$20,product!$B$2:$B$20)</f>
        <v>RAM Module</v>
      </c>
      <c r="D236" t="str">
        <f>_xlfn.XLOOKUP(C236,product!$B$2:$B$20,product!$C$2:$C$20)</f>
        <v>Internal Hardware</v>
      </c>
      <c r="E236">
        <v>300</v>
      </c>
      <c r="F236">
        <v>3538</v>
      </c>
      <c r="G236">
        <v>1061400</v>
      </c>
      <c r="H236" s="12">
        <v>44796</v>
      </c>
      <c r="I236" t="s">
        <v>90</v>
      </c>
      <c r="J236" t="s">
        <v>241</v>
      </c>
      <c r="K236" t="s">
        <v>239</v>
      </c>
      <c r="L236" t="s">
        <v>255</v>
      </c>
    </row>
    <row r="237" spans="1:12">
      <c r="A237">
        <v>229</v>
      </c>
      <c r="B237" t="s">
        <v>211</v>
      </c>
      <c r="C237" t="str">
        <f>_xlfn.XLOOKUP(B237,product!$A$2:$A$20,product!$B$2:$B$20)</f>
        <v>Printer</v>
      </c>
      <c r="D237" t="str">
        <f>_xlfn.XLOOKUP(C237,product!$B$2:$B$20,product!$C$2:$C$20)</f>
        <v>Peripherals</v>
      </c>
      <c r="E237">
        <v>170</v>
      </c>
      <c r="F237">
        <v>4037</v>
      </c>
      <c r="G237">
        <v>686290</v>
      </c>
      <c r="H237" s="12">
        <v>44797</v>
      </c>
      <c r="I237" t="s">
        <v>243</v>
      </c>
      <c r="J237" t="s">
        <v>241</v>
      </c>
      <c r="K237" t="s">
        <v>248</v>
      </c>
      <c r="L237" t="s">
        <v>257</v>
      </c>
    </row>
    <row r="238" spans="1:12">
      <c r="A238">
        <v>432</v>
      </c>
      <c r="B238" t="s">
        <v>194</v>
      </c>
      <c r="C238" t="str">
        <f>_xlfn.XLOOKUP(B238,product!$A$2:$A$20,product!$B$2:$B$20)</f>
        <v>RAM Module</v>
      </c>
      <c r="D238" t="str">
        <f>_xlfn.XLOOKUP(C238,product!$B$2:$B$20,product!$C$2:$C$20)</f>
        <v>Internal Hardware</v>
      </c>
      <c r="E238">
        <v>214</v>
      </c>
      <c r="F238">
        <v>2142</v>
      </c>
      <c r="G238">
        <v>458388</v>
      </c>
      <c r="H238" s="12">
        <v>44798</v>
      </c>
      <c r="I238" t="s">
        <v>245</v>
      </c>
      <c r="J238" t="s">
        <v>234</v>
      </c>
      <c r="K238" t="s">
        <v>248</v>
      </c>
      <c r="L238" t="s">
        <v>259</v>
      </c>
    </row>
    <row r="239" spans="1:12">
      <c r="A239">
        <v>342</v>
      </c>
      <c r="B239" t="s">
        <v>206</v>
      </c>
      <c r="C239" t="str">
        <f>_xlfn.XLOOKUP(B239,product!$A$2:$A$20,product!$B$2:$B$20)</f>
        <v>Cooling Pad</v>
      </c>
      <c r="D239" t="str">
        <f>_xlfn.XLOOKUP(C239,product!$B$2:$B$20,product!$C$2:$C$20)</f>
        <v>Laptop Accessories</v>
      </c>
      <c r="E239">
        <v>125</v>
      </c>
      <c r="F239">
        <v>3883</v>
      </c>
      <c r="G239">
        <v>485375</v>
      </c>
      <c r="H239" s="12">
        <v>44799</v>
      </c>
      <c r="I239" t="s">
        <v>247</v>
      </c>
      <c r="J239" t="s">
        <v>234</v>
      </c>
      <c r="K239" t="s">
        <v>235</v>
      </c>
      <c r="L239" t="s">
        <v>261</v>
      </c>
    </row>
    <row r="240" spans="1:12">
      <c r="A240">
        <v>431</v>
      </c>
      <c r="B240" t="s">
        <v>187</v>
      </c>
      <c r="C240" t="str">
        <f>_xlfn.XLOOKUP(B240,product!$A$2:$A$20,product!$B$2:$B$20)</f>
        <v>USB Flash Drive</v>
      </c>
      <c r="D240" t="str">
        <f>_xlfn.XLOOKUP(C240,product!$B$2:$B$20,product!$C$2:$C$20)</f>
        <v>Storage</v>
      </c>
      <c r="E240">
        <v>145</v>
      </c>
      <c r="F240">
        <v>2834</v>
      </c>
      <c r="G240">
        <v>410930</v>
      </c>
      <c r="H240" s="12">
        <v>44800</v>
      </c>
      <c r="I240" t="s">
        <v>250</v>
      </c>
      <c r="J240" t="s">
        <v>234</v>
      </c>
      <c r="K240" t="s">
        <v>248</v>
      </c>
      <c r="L240" t="s">
        <v>262</v>
      </c>
    </row>
    <row r="241" spans="1:12">
      <c r="A241">
        <v>423</v>
      </c>
      <c r="B241" t="s">
        <v>213</v>
      </c>
      <c r="C241" t="str">
        <f>_xlfn.XLOOKUP(B241,product!$A$2:$A$20,product!$B$2:$B$20)</f>
        <v>Scanner</v>
      </c>
      <c r="D241" t="str">
        <f>_xlfn.XLOOKUP(C241,product!$B$2:$B$20,product!$C$2:$C$20)</f>
        <v>Peripherals</v>
      </c>
      <c r="E241">
        <v>285</v>
      </c>
      <c r="F241">
        <v>3670</v>
      </c>
      <c r="G241">
        <v>1045950</v>
      </c>
      <c r="H241" s="12">
        <v>44801</v>
      </c>
      <c r="I241" t="s">
        <v>64</v>
      </c>
      <c r="J241" t="s">
        <v>241</v>
      </c>
      <c r="K241" t="s">
        <v>235</v>
      </c>
      <c r="L241" t="s">
        <v>263</v>
      </c>
    </row>
    <row r="242" spans="1:12">
      <c r="A242">
        <v>252</v>
      </c>
      <c r="B242" t="s">
        <v>220</v>
      </c>
      <c r="C242" t="str">
        <f>_xlfn.XLOOKUP(B242,product!$A$2:$A$20,product!$B$2:$B$20)</f>
        <v>Ethernet Cable</v>
      </c>
      <c r="D242" t="str">
        <f>_xlfn.XLOOKUP(C242,product!$B$2:$B$20,product!$C$2:$C$20)</f>
        <v>Cables &amp; Connectors</v>
      </c>
      <c r="E242">
        <v>288</v>
      </c>
      <c r="F242">
        <v>2274</v>
      </c>
      <c r="G242">
        <v>654912</v>
      </c>
      <c r="H242" s="12">
        <v>44802</v>
      </c>
      <c r="I242" t="s">
        <v>233</v>
      </c>
      <c r="J242" t="s">
        <v>234</v>
      </c>
      <c r="K242" t="s">
        <v>239</v>
      </c>
      <c r="L242" t="s">
        <v>236</v>
      </c>
    </row>
    <row r="243" spans="1:12">
      <c r="A243">
        <v>496</v>
      </c>
      <c r="B243" t="s">
        <v>201</v>
      </c>
      <c r="C243" t="str">
        <f>_xlfn.XLOOKUP(B243,product!$A$2:$A$20,product!$B$2:$B$20)</f>
        <v>Webcam</v>
      </c>
      <c r="D243" t="str">
        <f>_xlfn.XLOOKUP(C243,product!$B$2:$B$20,product!$C$2:$C$20)</f>
        <v>Peripherals</v>
      </c>
      <c r="E243">
        <v>296</v>
      </c>
      <c r="F243">
        <v>3470</v>
      </c>
      <c r="G243">
        <v>1027120</v>
      </c>
      <c r="H243" s="12">
        <v>44803</v>
      </c>
      <c r="I243" t="s">
        <v>237</v>
      </c>
      <c r="J243" t="s">
        <v>241</v>
      </c>
      <c r="K243" t="s">
        <v>248</v>
      </c>
      <c r="L243" t="s">
        <v>240</v>
      </c>
    </row>
    <row r="244" spans="1:12">
      <c r="A244">
        <v>453</v>
      </c>
      <c r="B244" t="s">
        <v>187</v>
      </c>
      <c r="C244" t="str">
        <f>_xlfn.XLOOKUP(B244,product!$A$2:$A$20,product!$B$2:$B$20)</f>
        <v>USB Flash Drive</v>
      </c>
      <c r="D244" t="str">
        <f>_xlfn.XLOOKUP(C244,product!$B$2:$B$20,product!$C$2:$C$20)</f>
        <v>Storage</v>
      </c>
      <c r="E244">
        <v>268</v>
      </c>
      <c r="F244">
        <v>3977</v>
      </c>
      <c r="G244">
        <v>1065836</v>
      </c>
      <c r="H244" s="12">
        <v>44804</v>
      </c>
      <c r="I244" t="s">
        <v>90</v>
      </c>
      <c r="J244" t="s">
        <v>238</v>
      </c>
      <c r="K244" t="s">
        <v>248</v>
      </c>
      <c r="L244" t="s">
        <v>242</v>
      </c>
    </row>
    <row r="245" spans="1:12">
      <c r="A245">
        <v>484</v>
      </c>
      <c r="B245" t="s">
        <v>203</v>
      </c>
      <c r="C245" t="str">
        <f>_xlfn.XLOOKUP(B245,product!$A$2:$A$20,product!$B$2:$B$20)</f>
        <v>Laptop Stand</v>
      </c>
      <c r="D245" t="str">
        <f>_xlfn.XLOOKUP(C245,product!$B$2:$B$20,product!$C$2:$C$20)</f>
        <v>Laptop Accessories</v>
      </c>
      <c r="E245">
        <v>109</v>
      </c>
      <c r="F245">
        <v>2041</v>
      </c>
      <c r="G245">
        <v>222469</v>
      </c>
      <c r="H245" s="12">
        <v>44805</v>
      </c>
      <c r="I245" t="s">
        <v>243</v>
      </c>
      <c r="J245" t="s">
        <v>234</v>
      </c>
      <c r="K245" t="s">
        <v>239</v>
      </c>
      <c r="L245" t="s">
        <v>244</v>
      </c>
    </row>
    <row r="246" spans="1:12">
      <c r="A246">
        <v>338</v>
      </c>
      <c r="B246" t="s">
        <v>189</v>
      </c>
      <c r="C246" t="str">
        <f>_xlfn.XLOOKUP(B246,product!$A$2:$A$20,product!$B$2:$B$20)</f>
        <v>Monitor</v>
      </c>
      <c r="D246" t="str">
        <f>_xlfn.XLOOKUP(C246,product!$B$2:$B$20,product!$C$2:$C$20)</f>
        <v>Display</v>
      </c>
      <c r="E246">
        <v>199</v>
      </c>
      <c r="F246">
        <v>3992</v>
      </c>
      <c r="G246">
        <v>794408</v>
      </c>
      <c r="H246" s="12">
        <v>44806</v>
      </c>
      <c r="I246" t="s">
        <v>245</v>
      </c>
      <c r="J246" t="s">
        <v>238</v>
      </c>
      <c r="K246" t="s">
        <v>239</v>
      </c>
      <c r="L246" t="s">
        <v>246</v>
      </c>
    </row>
    <row r="247" spans="1:12">
      <c r="A247">
        <v>289</v>
      </c>
      <c r="B247" t="s">
        <v>194</v>
      </c>
      <c r="C247" t="str">
        <f>_xlfn.XLOOKUP(B247,product!$A$2:$A$20,product!$B$2:$B$20)</f>
        <v>RAM Module</v>
      </c>
      <c r="D247" t="str">
        <f>_xlfn.XLOOKUP(C247,product!$B$2:$B$20,product!$C$2:$C$20)</f>
        <v>Internal Hardware</v>
      </c>
      <c r="E247">
        <v>212</v>
      </c>
      <c r="F247">
        <v>3578</v>
      </c>
      <c r="G247">
        <v>758536</v>
      </c>
      <c r="H247" s="12">
        <v>44807</v>
      </c>
      <c r="I247" t="s">
        <v>247</v>
      </c>
      <c r="J247" t="s">
        <v>241</v>
      </c>
      <c r="K247" t="s">
        <v>248</v>
      </c>
      <c r="L247" t="s">
        <v>249</v>
      </c>
    </row>
    <row r="248" spans="1:12">
      <c r="A248">
        <v>449</v>
      </c>
      <c r="B248" t="s">
        <v>220</v>
      </c>
      <c r="C248" t="str">
        <f>_xlfn.XLOOKUP(B248,product!$A$2:$A$20,product!$B$2:$B$20)</f>
        <v>Ethernet Cable</v>
      </c>
      <c r="D248" t="str">
        <f>_xlfn.XLOOKUP(C248,product!$B$2:$B$20,product!$C$2:$C$20)</f>
        <v>Cables &amp; Connectors</v>
      </c>
      <c r="E248">
        <v>280</v>
      </c>
      <c r="F248">
        <v>3681</v>
      </c>
      <c r="G248">
        <v>1030680</v>
      </c>
      <c r="H248" s="12">
        <v>44808</v>
      </c>
      <c r="I248" t="s">
        <v>250</v>
      </c>
      <c r="J248" t="s">
        <v>234</v>
      </c>
      <c r="K248" t="s">
        <v>248</v>
      </c>
      <c r="L248" t="s">
        <v>251</v>
      </c>
    </row>
    <row r="249" spans="1:12">
      <c r="A249">
        <v>304</v>
      </c>
      <c r="B249" t="s">
        <v>217</v>
      </c>
      <c r="C249" t="str">
        <f>_xlfn.XLOOKUP(B249,product!$A$2:$A$20,product!$B$2:$B$20)</f>
        <v>Wireless Router</v>
      </c>
      <c r="D249" t="str">
        <f>_xlfn.XLOOKUP(C249,product!$B$2:$B$20,product!$C$2:$C$20)</f>
        <v>Network</v>
      </c>
      <c r="E249">
        <v>254</v>
      </c>
      <c r="F249">
        <v>2187</v>
      </c>
      <c r="G249">
        <v>555498</v>
      </c>
      <c r="H249" s="12">
        <v>44809</v>
      </c>
      <c r="I249" t="s">
        <v>64</v>
      </c>
      <c r="J249" t="s">
        <v>241</v>
      </c>
      <c r="K249" t="s">
        <v>239</v>
      </c>
      <c r="L249" t="s">
        <v>252</v>
      </c>
    </row>
    <row r="250" spans="1:12">
      <c r="A250">
        <v>462</v>
      </c>
      <c r="B250" t="s">
        <v>217</v>
      </c>
      <c r="C250" t="str">
        <f>_xlfn.XLOOKUP(B250,product!$A$2:$A$20,product!$B$2:$B$20)</f>
        <v>Wireless Router</v>
      </c>
      <c r="D250" t="str">
        <f>_xlfn.XLOOKUP(C250,product!$B$2:$B$20,product!$C$2:$C$20)</f>
        <v>Network</v>
      </c>
      <c r="E250">
        <v>238</v>
      </c>
      <c r="F250">
        <v>4220</v>
      </c>
      <c r="G250">
        <v>1004360</v>
      </c>
      <c r="H250" s="12">
        <v>44810</v>
      </c>
      <c r="I250" t="s">
        <v>59</v>
      </c>
      <c r="J250" t="s">
        <v>241</v>
      </c>
      <c r="K250" t="s">
        <v>235</v>
      </c>
      <c r="L250" t="s">
        <v>253</v>
      </c>
    </row>
    <row r="251" spans="1:12">
      <c r="A251">
        <v>413</v>
      </c>
      <c r="B251" t="s">
        <v>208</v>
      </c>
      <c r="C251" t="str">
        <f>_xlfn.XLOOKUP(B251,product!$A$2:$A$20,product!$B$2:$B$20)</f>
        <v>Headset</v>
      </c>
      <c r="D251" t="str">
        <f>_xlfn.XLOOKUP(C251,product!$B$2:$B$20,product!$C$2:$C$20)</f>
        <v>Audio</v>
      </c>
      <c r="E251">
        <v>289</v>
      </c>
      <c r="F251">
        <v>3559</v>
      </c>
      <c r="G251">
        <v>1028551</v>
      </c>
      <c r="H251" s="12">
        <v>44811</v>
      </c>
      <c r="I251" t="s">
        <v>254</v>
      </c>
      <c r="J251" t="s">
        <v>238</v>
      </c>
      <c r="K251" t="s">
        <v>239</v>
      </c>
      <c r="L251" t="s">
        <v>255</v>
      </c>
    </row>
    <row r="252" spans="1:12">
      <c r="A252">
        <v>378</v>
      </c>
      <c r="B252" t="s">
        <v>198</v>
      </c>
      <c r="C252" t="str">
        <f>_xlfn.XLOOKUP(B252,product!$A$2:$A$20,product!$B$2:$B$20)</f>
        <v>HDMI Cable</v>
      </c>
      <c r="D252" t="str">
        <f>_xlfn.XLOOKUP(C252,product!$B$2:$B$20,product!$C$2:$C$20)</f>
        <v>Cables &amp; Connectors</v>
      </c>
      <c r="E252">
        <v>131</v>
      </c>
      <c r="F252">
        <v>4060</v>
      </c>
      <c r="G252">
        <v>531860</v>
      </c>
      <c r="H252" s="12">
        <v>44812</v>
      </c>
      <c r="I252" t="s">
        <v>256</v>
      </c>
      <c r="J252" t="s">
        <v>241</v>
      </c>
      <c r="K252" t="s">
        <v>239</v>
      </c>
      <c r="L252" t="s">
        <v>257</v>
      </c>
    </row>
    <row r="253" spans="1:12">
      <c r="A253">
        <v>418</v>
      </c>
      <c r="B253" t="s">
        <v>217</v>
      </c>
      <c r="C253" t="str">
        <f>_xlfn.XLOOKUP(B253,product!$A$2:$A$20,product!$B$2:$B$20)</f>
        <v>Wireless Router</v>
      </c>
      <c r="D253" t="str">
        <f>_xlfn.XLOOKUP(C253,product!$B$2:$B$20,product!$C$2:$C$20)</f>
        <v>Network</v>
      </c>
      <c r="E253">
        <v>276</v>
      </c>
      <c r="F253">
        <v>2283</v>
      </c>
      <c r="G253">
        <v>630108</v>
      </c>
      <c r="H253" s="12">
        <v>44813</v>
      </c>
      <c r="I253" t="s">
        <v>258</v>
      </c>
      <c r="J253" t="s">
        <v>241</v>
      </c>
      <c r="K253" t="s">
        <v>239</v>
      </c>
      <c r="L253" t="s">
        <v>259</v>
      </c>
    </row>
    <row r="254" spans="1:12">
      <c r="A254">
        <v>293</v>
      </c>
      <c r="B254" t="s">
        <v>203</v>
      </c>
      <c r="C254" t="str">
        <f>_xlfn.XLOOKUP(B254,product!$A$2:$A$20,product!$B$2:$B$20)</f>
        <v>Laptop Stand</v>
      </c>
      <c r="D254" t="str">
        <f>_xlfn.XLOOKUP(C254,product!$B$2:$B$20,product!$C$2:$C$20)</f>
        <v>Laptop Accessories</v>
      </c>
      <c r="E254">
        <v>145</v>
      </c>
      <c r="F254">
        <v>2474</v>
      </c>
      <c r="G254">
        <v>358730</v>
      </c>
      <c r="H254" s="12">
        <v>44814</v>
      </c>
      <c r="I254" t="s">
        <v>260</v>
      </c>
      <c r="J254" t="s">
        <v>238</v>
      </c>
      <c r="K254" t="s">
        <v>248</v>
      </c>
      <c r="L254" t="s">
        <v>261</v>
      </c>
    </row>
    <row r="255" spans="1:12">
      <c r="A255">
        <v>461</v>
      </c>
      <c r="B255" t="s">
        <v>208</v>
      </c>
      <c r="C255" t="str">
        <f>_xlfn.XLOOKUP(B255,product!$A$2:$A$20,product!$B$2:$B$20)</f>
        <v>Headset</v>
      </c>
      <c r="D255" t="str">
        <f>_xlfn.XLOOKUP(C255,product!$B$2:$B$20,product!$C$2:$C$20)</f>
        <v>Audio</v>
      </c>
      <c r="E255">
        <v>141</v>
      </c>
      <c r="F255">
        <v>2155</v>
      </c>
      <c r="G255">
        <v>303855</v>
      </c>
      <c r="H255" s="12">
        <v>44815</v>
      </c>
      <c r="I255" t="s">
        <v>233</v>
      </c>
      <c r="J255" t="s">
        <v>234</v>
      </c>
      <c r="K255" t="s">
        <v>239</v>
      </c>
      <c r="L255" t="s">
        <v>262</v>
      </c>
    </row>
    <row r="256" spans="1:12">
      <c r="A256">
        <v>222</v>
      </c>
      <c r="B256" t="s">
        <v>198</v>
      </c>
      <c r="C256" t="str">
        <f>_xlfn.XLOOKUP(B256,product!$A$2:$A$20,product!$B$2:$B$20)</f>
        <v>HDMI Cable</v>
      </c>
      <c r="D256" t="str">
        <f>_xlfn.XLOOKUP(C256,product!$B$2:$B$20,product!$C$2:$C$20)</f>
        <v>Cables &amp; Connectors</v>
      </c>
      <c r="E256">
        <v>182</v>
      </c>
      <c r="F256">
        <v>3564</v>
      </c>
      <c r="G256">
        <v>648648</v>
      </c>
      <c r="H256" s="12">
        <v>44816</v>
      </c>
      <c r="I256" t="s">
        <v>237</v>
      </c>
      <c r="J256" t="s">
        <v>238</v>
      </c>
      <c r="K256" t="s">
        <v>235</v>
      </c>
      <c r="L256" t="s">
        <v>263</v>
      </c>
    </row>
    <row r="257" spans="1:12">
      <c r="A257">
        <v>288</v>
      </c>
      <c r="B257" t="s">
        <v>184</v>
      </c>
      <c r="C257" t="str">
        <f>_xlfn.XLOOKUP(B257,product!$A$2:$A$20,product!$B$2:$B$20)</f>
        <v>Hard Drive</v>
      </c>
      <c r="D257" t="str">
        <f>_xlfn.XLOOKUP(C257,product!$B$2:$B$20,product!$C$2:$C$20)</f>
        <v>Storage</v>
      </c>
      <c r="E257">
        <v>247</v>
      </c>
      <c r="F257">
        <v>2729</v>
      </c>
      <c r="G257">
        <v>674063</v>
      </c>
      <c r="H257" s="12">
        <v>44817</v>
      </c>
      <c r="I257" t="s">
        <v>90</v>
      </c>
      <c r="J257" t="s">
        <v>234</v>
      </c>
      <c r="K257" t="s">
        <v>248</v>
      </c>
      <c r="L257" t="s">
        <v>236</v>
      </c>
    </row>
    <row r="258" spans="1:12">
      <c r="A258">
        <v>487</v>
      </c>
      <c r="B258" t="s">
        <v>208</v>
      </c>
      <c r="C258" t="str">
        <f>_xlfn.XLOOKUP(B258,product!$A$2:$A$20,product!$B$2:$B$20)</f>
        <v>Headset</v>
      </c>
      <c r="D258" t="str">
        <f>_xlfn.XLOOKUP(C258,product!$B$2:$B$20,product!$C$2:$C$20)</f>
        <v>Audio</v>
      </c>
      <c r="E258">
        <v>294</v>
      </c>
      <c r="F258">
        <v>4304</v>
      </c>
      <c r="G258">
        <v>1265376</v>
      </c>
      <c r="H258" s="12">
        <v>44818</v>
      </c>
      <c r="I258" t="s">
        <v>243</v>
      </c>
      <c r="J258" t="s">
        <v>234</v>
      </c>
      <c r="K258" t="s">
        <v>239</v>
      </c>
      <c r="L258" t="s">
        <v>240</v>
      </c>
    </row>
    <row r="259" spans="1:12">
      <c r="A259">
        <v>302</v>
      </c>
      <c r="B259" t="s">
        <v>189</v>
      </c>
      <c r="C259" t="str">
        <f>_xlfn.XLOOKUP(B259,product!$A$2:$A$20,product!$B$2:$B$20)</f>
        <v>Monitor</v>
      </c>
      <c r="D259" t="str">
        <f>_xlfn.XLOOKUP(C259,product!$B$2:$B$20,product!$C$2:$C$20)</f>
        <v>Display</v>
      </c>
      <c r="E259">
        <v>286</v>
      </c>
      <c r="F259">
        <v>3061</v>
      </c>
      <c r="G259">
        <v>875446</v>
      </c>
      <c r="H259" s="12">
        <v>44819</v>
      </c>
      <c r="I259" t="s">
        <v>245</v>
      </c>
      <c r="J259" t="s">
        <v>241</v>
      </c>
      <c r="K259" t="s">
        <v>239</v>
      </c>
      <c r="L259" t="s">
        <v>242</v>
      </c>
    </row>
    <row r="260" spans="1:12">
      <c r="A260">
        <v>309</v>
      </c>
      <c r="B260" t="s">
        <v>191</v>
      </c>
      <c r="C260" t="str">
        <f>_xlfn.XLOOKUP(B260,product!$A$2:$A$20,product!$B$2:$B$20)</f>
        <v>Graphics Card</v>
      </c>
      <c r="D260" t="str">
        <f>_xlfn.XLOOKUP(C260,product!$B$2:$B$20,product!$C$2:$C$20)</f>
        <v>Internal Hardware</v>
      </c>
      <c r="E260">
        <v>163</v>
      </c>
      <c r="F260">
        <v>2344</v>
      </c>
      <c r="G260">
        <v>382072</v>
      </c>
      <c r="H260" s="12">
        <v>44820</v>
      </c>
      <c r="I260" t="s">
        <v>247</v>
      </c>
      <c r="J260" t="s">
        <v>234</v>
      </c>
      <c r="K260" t="s">
        <v>248</v>
      </c>
      <c r="L260" t="s">
        <v>244</v>
      </c>
    </row>
    <row r="261" spans="1:12">
      <c r="A261">
        <v>234</v>
      </c>
      <c r="B261" t="s">
        <v>211</v>
      </c>
      <c r="C261" t="str">
        <f>_xlfn.XLOOKUP(B261,product!$A$2:$A$20,product!$B$2:$B$20)</f>
        <v>Printer</v>
      </c>
      <c r="D261" t="str">
        <f>_xlfn.XLOOKUP(C261,product!$B$2:$B$20,product!$C$2:$C$20)</f>
        <v>Peripherals</v>
      </c>
      <c r="E261">
        <v>141</v>
      </c>
      <c r="F261">
        <v>2550</v>
      </c>
      <c r="G261">
        <v>359550</v>
      </c>
      <c r="H261" s="12">
        <v>44821</v>
      </c>
      <c r="I261" t="s">
        <v>250</v>
      </c>
      <c r="J261" t="s">
        <v>238</v>
      </c>
      <c r="K261" t="s">
        <v>235</v>
      </c>
      <c r="L261" t="s">
        <v>246</v>
      </c>
    </row>
    <row r="262" spans="1:12">
      <c r="A262">
        <v>356</v>
      </c>
      <c r="B262" t="s">
        <v>194</v>
      </c>
      <c r="C262" t="str">
        <f>_xlfn.XLOOKUP(B262,product!$A$2:$A$20,product!$B$2:$B$20)</f>
        <v>RAM Module</v>
      </c>
      <c r="D262" t="str">
        <f>_xlfn.XLOOKUP(C262,product!$B$2:$B$20,product!$C$2:$C$20)</f>
        <v>Internal Hardware</v>
      </c>
      <c r="E262">
        <v>248</v>
      </c>
      <c r="F262">
        <v>3174</v>
      </c>
      <c r="G262">
        <v>787152</v>
      </c>
      <c r="H262" s="12">
        <v>44822</v>
      </c>
      <c r="I262" t="s">
        <v>64</v>
      </c>
      <c r="J262" t="s">
        <v>241</v>
      </c>
      <c r="K262" t="s">
        <v>248</v>
      </c>
      <c r="L262" t="s">
        <v>249</v>
      </c>
    </row>
    <row r="263" spans="1:12">
      <c r="A263">
        <v>208</v>
      </c>
      <c r="B263" t="s">
        <v>194</v>
      </c>
      <c r="C263" t="str">
        <f>_xlfn.XLOOKUP(B263,product!$A$2:$A$20,product!$B$2:$B$20)</f>
        <v>RAM Module</v>
      </c>
      <c r="D263" t="str">
        <f>_xlfn.XLOOKUP(C263,product!$B$2:$B$20,product!$C$2:$C$20)</f>
        <v>Internal Hardware</v>
      </c>
      <c r="E263">
        <v>270</v>
      </c>
      <c r="F263">
        <v>2407</v>
      </c>
      <c r="G263">
        <v>649890</v>
      </c>
      <c r="H263" s="12">
        <v>44823</v>
      </c>
      <c r="I263" t="s">
        <v>254</v>
      </c>
      <c r="J263" t="s">
        <v>238</v>
      </c>
      <c r="K263" t="s">
        <v>248</v>
      </c>
      <c r="L263" t="s">
        <v>251</v>
      </c>
    </row>
    <row r="264" spans="1:12">
      <c r="A264">
        <v>257</v>
      </c>
      <c r="B264" t="s">
        <v>191</v>
      </c>
      <c r="C264" t="str">
        <f>_xlfn.XLOOKUP(B264,product!$A$2:$A$20,product!$B$2:$B$20)</f>
        <v>Graphics Card</v>
      </c>
      <c r="D264" t="str">
        <f>_xlfn.XLOOKUP(C264,product!$B$2:$B$20,product!$C$2:$C$20)</f>
        <v>Internal Hardware</v>
      </c>
      <c r="E264">
        <v>258</v>
      </c>
      <c r="F264">
        <v>3763</v>
      </c>
      <c r="G264">
        <v>970854</v>
      </c>
      <c r="H264" s="12">
        <v>44824</v>
      </c>
      <c r="I264" t="s">
        <v>256</v>
      </c>
      <c r="J264" t="s">
        <v>238</v>
      </c>
      <c r="K264" t="s">
        <v>235</v>
      </c>
      <c r="L264" t="s">
        <v>252</v>
      </c>
    </row>
    <row r="265" spans="1:12">
      <c r="A265">
        <v>318</v>
      </c>
      <c r="B265" t="s">
        <v>201</v>
      </c>
      <c r="C265" t="str">
        <f>_xlfn.XLOOKUP(B265,product!$A$2:$A$20,product!$B$2:$B$20)</f>
        <v>Webcam</v>
      </c>
      <c r="D265" t="str">
        <f>_xlfn.XLOOKUP(C265,product!$B$2:$B$20,product!$C$2:$C$20)</f>
        <v>Peripherals</v>
      </c>
      <c r="E265">
        <v>105</v>
      </c>
      <c r="F265">
        <v>2882</v>
      </c>
      <c r="G265">
        <v>302610</v>
      </c>
      <c r="H265" s="12">
        <v>44825</v>
      </c>
      <c r="I265" t="s">
        <v>258</v>
      </c>
      <c r="J265" t="s">
        <v>238</v>
      </c>
      <c r="K265" t="s">
        <v>235</v>
      </c>
      <c r="L265" t="s">
        <v>253</v>
      </c>
    </row>
    <row r="266" spans="1:12">
      <c r="A266">
        <v>379</v>
      </c>
      <c r="B266" t="s">
        <v>183</v>
      </c>
      <c r="C266" t="str">
        <f>_xlfn.XLOOKUP(B266,product!$A$2:$A$20,product!$B$2:$B$20)</f>
        <v>Mouse</v>
      </c>
      <c r="D266" t="str">
        <f>_xlfn.XLOOKUP(C266,product!$B$2:$B$20,product!$C$2:$C$20)</f>
        <v>Input Device</v>
      </c>
      <c r="E266">
        <v>148</v>
      </c>
      <c r="F266">
        <v>4182</v>
      </c>
      <c r="G266">
        <v>618936</v>
      </c>
      <c r="H266" s="12">
        <v>44826</v>
      </c>
      <c r="I266" t="s">
        <v>260</v>
      </c>
      <c r="J266" t="s">
        <v>234</v>
      </c>
      <c r="K266" t="s">
        <v>239</v>
      </c>
      <c r="L266" t="s">
        <v>255</v>
      </c>
    </row>
    <row r="267" spans="1:12">
      <c r="A267">
        <v>281</v>
      </c>
      <c r="B267" t="s">
        <v>191</v>
      </c>
      <c r="C267" t="str">
        <f>_xlfn.XLOOKUP(B267,product!$A$2:$A$20,product!$B$2:$B$20)</f>
        <v>Graphics Card</v>
      </c>
      <c r="D267" t="str">
        <f>_xlfn.XLOOKUP(C267,product!$B$2:$B$20,product!$C$2:$C$20)</f>
        <v>Internal Hardware</v>
      </c>
      <c r="E267">
        <v>228</v>
      </c>
      <c r="F267">
        <v>2171</v>
      </c>
      <c r="G267">
        <v>494988</v>
      </c>
      <c r="H267" s="12">
        <v>44827</v>
      </c>
      <c r="I267" t="s">
        <v>233</v>
      </c>
      <c r="J267" t="s">
        <v>238</v>
      </c>
      <c r="K267" t="s">
        <v>235</v>
      </c>
      <c r="L267" t="s">
        <v>257</v>
      </c>
    </row>
    <row r="268" spans="1:12">
      <c r="A268">
        <v>412</v>
      </c>
      <c r="B268" t="s">
        <v>215</v>
      </c>
      <c r="C268" t="str">
        <f>_xlfn.XLOOKUP(B268,product!$A$2:$A$20,product!$B$2:$B$20)</f>
        <v>Speakers</v>
      </c>
      <c r="D268" t="str">
        <f>_xlfn.XLOOKUP(C268,product!$B$2:$B$20,product!$C$2:$C$20)</f>
        <v>Audio</v>
      </c>
      <c r="E268">
        <v>132</v>
      </c>
      <c r="F268">
        <v>3187</v>
      </c>
      <c r="G268">
        <v>420684</v>
      </c>
      <c r="H268" s="12">
        <v>44828</v>
      </c>
      <c r="I268" t="s">
        <v>237</v>
      </c>
      <c r="J268" t="s">
        <v>234</v>
      </c>
      <c r="K268" t="s">
        <v>239</v>
      </c>
      <c r="L268" t="s">
        <v>259</v>
      </c>
    </row>
    <row r="269" spans="1:12">
      <c r="A269">
        <v>454</v>
      </c>
      <c r="B269" t="s">
        <v>198</v>
      </c>
      <c r="C269" t="str">
        <f>_xlfn.XLOOKUP(B269,product!$A$2:$A$20,product!$B$2:$B$20)</f>
        <v>HDMI Cable</v>
      </c>
      <c r="D269" t="str">
        <f>_xlfn.XLOOKUP(C269,product!$B$2:$B$20,product!$C$2:$C$20)</f>
        <v>Cables &amp; Connectors</v>
      </c>
      <c r="E269">
        <v>117</v>
      </c>
      <c r="F269">
        <v>3133</v>
      </c>
      <c r="G269">
        <v>366561</v>
      </c>
      <c r="H269" s="12">
        <v>44829</v>
      </c>
      <c r="I269" t="s">
        <v>90</v>
      </c>
      <c r="J269" t="s">
        <v>241</v>
      </c>
      <c r="K269" t="s">
        <v>235</v>
      </c>
      <c r="L269" t="s">
        <v>261</v>
      </c>
    </row>
    <row r="270" spans="1:12">
      <c r="A270">
        <v>256</v>
      </c>
      <c r="B270" t="s">
        <v>208</v>
      </c>
      <c r="C270" t="str">
        <f>_xlfn.XLOOKUP(B270,product!$A$2:$A$20,product!$B$2:$B$20)</f>
        <v>Headset</v>
      </c>
      <c r="D270" t="str">
        <f>_xlfn.XLOOKUP(C270,product!$B$2:$B$20,product!$C$2:$C$20)</f>
        <v>Audio</v>
      </c>
      <c r="E270">
        <v>210</v>
      </c>
      <c r="F270">
        <v>3072</v>
      </c>
      <c r="G270">
        <v>645120</v>
      </c>
      <c r="H270" s="12">
        <v>44830</v>
      </c>
      <c r="I270" t="s">
        <v>243</v>
      </c>
      <c r="J270" t="s">
        <v>234</v>
      </c>
      <c r="K270" t="s">
        <v>248</v>
      </c>
      <c r="L270" t="s">
        <v>262</v>
      </c>
    </row>
    <row r="271" spans="1:12">
      <c r="A271">
        <v>223</v>
      </c>
      <c r="B271" t="s">
        <v>187</v>
      </c>
      <c r="C271" t="str">
        <f>_xlfn.XLOOKUP(B271,product!$A$2:$A$20,product!$B$2:$B$20)</f>
        <v>USB Flash Drive</v>
      </c>
      <c r="D271" t="str">
        <f>_xlfn.XLOOKUP(C271,product!$B$2:$B$20,product!$C$2:$C$20)</f>
        <v>Storage</v>
      </c>
      <c r="E271">
        <v>182</v>
      </c>
      <c r="F271">
        <v>2253</v>
      </c>
      <c r="G271">
        <v>410046</v>
      </c>
      <c r="H271" s="12">
        <v>44831</v>
      </c>
      <c r="I271" t="s">
        <v>245</v>
      </c>
      <c r="J271" t="s">
        <v>241</v>
      </c>
      <c r="K271" t="s">
        <v>248</v>
      </c>
      <c r="L271" t="s">
        <v>263</v>
      </c>
    </row>
    <row r="272" spans="1:12">
      <c r="A272">
        <v>482</v>
      </c>
      <c r="B272" t="s">
        <v>206</v>
      </c>
      <c r="C272" t="str">
        <f>_xlfn.XLOOKUP(B272,product!$A$2:$A$20,product!$B$2:$B$20)</f>
        <v>Cooling Pad</v>
      </c>
      <c r="D272" t="str">
        <f>_xlfn.XLOOKUP(C272,product!$B$2:$B$20,product!$C$2:$C$20)</f>
        <v>Laptop Accessories</v>
      </c>
      <c r="E272">
        <v>131</v>
      </c>
      <c r="F272">
        <v>3862</v>
      </c>
      <c r="G272">
        <v>505922</v>
      </c>
      <c r="H272" s="12">
        <v>44832</v>
      </c>
      <c r="I272" t="s">
        <v>247</v>
      </c>
      <c r="J272" t="s">
        <v>234</v>
      </c>
      <c r="K272" t="s">
        <v>248</v>
      </c>
      <c r="L272" t="s">
        <v>236</v>
      </c>
    </row>
    <row r="273" spans="1:12">
      <c r="A273">
        <v>267</v>
      </c>
      <c r="B273" t="s">
        <v>181</v>
      </c>
      <c r="C273" t="str">
        <f>_xlfn.XLOOKUP(B273,product!$A$2:$A$20,product!$B$2:$B$20)</f>
        <v>Keyboard</v>
      </c>
      <c r="D273" t="str">
        <f>_xlfn.XLOOKUP(C273,product!$B$2:$B$20,product!$C$2:$C$20)</f>
        <v>Input Device</v>
      </c>
      <c r="E273">
        <v>137</v>
      </c>
      <c r="F273">
        <v>3130</v>
      </c>
      <c r="G273">
        <v>428810</v>
      </c>
      <c r="H273" s="12">
        <v>44833</v>
      </c>
      <c r="I273" t="s">
        <v>250</v>
      </c>
      <c r="J273" t="s">
        <v>234</v>
      </c>
      <c r="K273" t="s">
        <v>235</v>
      </c>
      <c r="L273" t="s">
        <v>240</v>
      </c>
    </row>
    <row r="274" spans="1:12">
      <c r="A274">
        <v>315</v>
      </c>
      <c r="B274" t="s">
        <v>215</v>
      </c>
      <c r="C274" t="str">
        <f>_xlfn.XLOOKUP(B274,product!$A$2:$A$20,product!$B$2:$B$20)</f>
        <v>Speakers</v>
      </c>
      <c r="D274" t="str">
        <f>_xlfn.XLOOKUP(C274,product!$B$2:$B$20,product!$C$2:$C$20)</f>
        <v>Audio</v>
      </c>
      <c r="E274">
        <v>254</v>
      </c>
      <c r="F274">
        <v>3324</v>
      </c>
      <c r="G274">
        <v>844296</v>
      </c>
      <c r="H274" s="12">
        <v>44834</v>
      </c>
      <c r="I274" t="s">
        <v>64</v>
      </c>
      <c r="J274" t="s">
        <v>241</v>
      </c>
      <c r="K274" t="s">
        <v>248</v>
      </c>
      <c r="L274" t="s">
        <v>242</v>
      </c>
    </row>
    <row r="275" spans="1:12">
      <c r="A275">
        <v>442</v>
      </c>
      <c r="B275" t="s">
        <v>208</v>
      </c>
      <c r="C275" t="str">
        <f>_xlfn.XLOOKUP(B275,product!$A$2:$A$20,product!$B$2:$B$20)</f>
        <v>Headset</v>
      </c>
      <c r="D275" t="str">
        <f>_xlfn.XLOOKUP(C275,product!$B$2:$B$20,product!$C$2:$C$20)</f>
        <v>Audio</v>
      </c>
      <c r="E275">
        <v>233</v>
      </c>
      <c r="F275">
        <v>4744</v>
      </c>
      <c r="G275">
        <v>1105352</v>
      </c>
      <c r="H275" s="12">
        <v>44835</v>
      </c>
      <c r="I275" t="s">
        <v>245</v>
      </c>
      <c r="J275" t="s">
        <v>238</v>
      </c>
      <c r="K275" t="s">
        <v>248</v>
      </c>
      <c r="L275" t="s">
        <v>244</v>
      </c>
    </row>
    <row r="276" spans="1:12">
      <c r="A276">
        <v>409</v>
      </c>
      <c r="B276" t="s">
        <v>189</v>
      </c>
      <c r="C276" t="str">
        <f>_xlfn.XLOOKUP(B276,product!$A$2:$A$20,product!$B$2:$B$20)</f>
        <v>Monitor</v>
      </c>
      <c r="D276" t="str">
        <f>_xlfn.XLOOKUP(C276,product!$B$2:$B$20,product!$C$2:$C$20)</f>
        <v>Display</v>
      </c>
      <c r="E276">
        <v>297</v>
      </c>
      <c r="F276">
        <v>3586</v>
      </c>
      <c r="G276">
        <v>1065042</v>
      </c>
      <c r="H276" s="12">
        <v>44836</v>
      </c>
      <c r="I276" t="s">
        <v>247</v>
      </c>
      <c r="J276" t="s">
        <v>238</v>
      </c>
      <c r="K276" t="s">
        <v>235</v>
      </c>
      <c r="L276" t="s">
        <v>246</v>
      </c>
    </row>
    <row r="277" spans="1:12">
      <c r="A277">
        <v>438</v>
      </c>
      <c r="B277" t="s">
        <v>183</v>
      </c>
      <c r="C277" t="str">
        <f>_xlfn.XLOOKUP(B277,product!$A$2:$A$20,product!$B$2:$B$20)</f>
        <v>Mouse</v>
      </c>
      <c r="D277" t="str">
        <f>_xlfn.XLOOKUP(C277,product!$B$2:$B$20,product!$C$2:$C$20)</f>
        <v>Input Device</v>
      </c>
      <c r="E277">
        <v>150</v>
      </c>
      <c r="F277">
        <v>4015</v>
      </c>
      <c r="G277">
        <v>602250</v>
      </c>
      <c r="H277" s="12">
        <v>44837</v>
      </c>
      <c r="I277" t="s">
        <v>250</v>
      </c>
      <c r="J277" t="s">
        <v>238</v>
      </c>
      <c r="K277" t="s">
        <v>239</v>
      </c>
      <c r="L277" t="s">
        <v>249</v>
      </c>
    </row>
    <row r="278" spans="1:12">
      <c r="A278">
        <v>326</v>
      </c>
      <c r="B278" t="s">
        <v>213</v>
      </c>
      <c r="C278" t="str">
        <f>_xlfn.XLOOKUP(B278,product!$A$2:$A$20,product!$B$2:$B$20)</f>
        <v>Scanner</v>
      </c>
      <c r="D278" t="str">
        <f>_xlfn.XLOOKUP(C278,product!$B$2:$B$20,product!$C$2:$C$20)</f>
        <v>Peripherals</v>
      </c>
      <c r="E278">
        <v>183</v>
      </c>
      <c r="F278">
        <v>3831</v>
      </c>
      <c r="G278">
        <v>701073</v>
      </c>
      <c r="H278" s="12">
        <v>44838</v>
      </c>
      <c r="I278" t="s">
        <v>64</v>
      </c>
      <c r="J278" t="s">
        <v>238</v>
      </c>
      <c r="K278" t="s">
        <v>248</v>
      </c>
      <c r="L278" t="s">
        <v>251</v>
      </c>
    </row>
    <row r="279" spans="1:12">
      <c r="A279">
        <v>488</v>
      </c>
      <c r="B279" t="s">
        <v>198</v>
      </c>
      <c r="C279" t="str">
        <f>_xlfn.XLOOKUP(B279,product!$A$2:$A$20,product!$B$2:$B$20)</f>
        <v>HDMI Cable</v>
      </c>
      <c r="D279" t="str">
        <f>_xlfn.XLOOKUP(C279,product!$B$2:$B$20,product!$C$2:$C$20)</f>
        <v>Cables &amp; Connectors</v>
      </c>
      <c r="E279">
        <v>185</v>
      </c>
      <c r="F279">
        <v>3927</v>
      </c>
      <c r="G279">
        <v>726495</v>
      </c>
      <c r="H279" s="12">
        <v>44839</v>
      </c>
      <c r="I279" t="s">
        <v>59</v>
      </c>
      <c r="J279" t="s">
        <v>238</v>
      </c>
      <c r="K279" t="s">
        <v>235</v>
      </c>
      <c r="L279" t="s">
        <v>252</v>
      </c>
    </row>
    <row r="280" spans="1:12">
      <c r="A280">
        <v>359</v>
      </c>
      <c r="B280" t="s">
        <v>201</v>
      </c>
      <c r="C280" t="str">
        <f>_xlfn.XLOOKUP(B280,product!$A$2:$A$20,product!$B$2:$B$20)</f>
        <v>Webcam</v>
      </c>
      <c r="D280" t="str">
        <f>_xlfn.XLOOKUP(C280,product!$B$2:$B$20,product!$C$2:$C$20)</f>
        <v>Peripherals</v>
      </c>
      <c r="E280">
        <v>274</v>
      </c>
      <c r="F280">
        <v>2691</v>
      </c>
      <c r="G280">
        <v>737334</v>
      </c>
      <c r="H280" s="12">
        <v>44840</v>
      </c>
      <c r="I280" t="s">
        <v>254</v>
      </c>
      <c r="J280" t="s">
        <v>241</v>
      </c>
      <c r="K280" t="s">
        <v>235</v>
      </c>
      <c r="L280" t="s">
        <v>253</v>
      </c>
    </row>
    <row r="281" spans="1:12">
      <c r="A281">
        <v>404</v>
      </c>
      <c r="B281" t="s">
        <v>222</v>
      </c>
      <c r="C281" t="str">
        <f>_xlfn.XLOOKUP(B281,product!$A$2:$A$20,product!$B$2:$B$20)</f>
        <v>Laptop Bag</v>
      </c>
      <c r="D281" t="str">
        <f>_xlfn.XLOOKUP(C281,product!$B$2:$B$20,product!$C$2:$C$20)</f>
        <v>Laptop Accessories</v>
      </c>
      <c r="E281">
        <v>109</v>
      </c>
      <c r="F281">
        <v>4865</v>
      </c>
      <c r="G281">
        <v>530285</v>
      </c>
      <c r="H281" s="12">
        <v>44841</v>
      </c>
      <c r="I281" t="s">
        <v>256</v>
      </c>
      <c r="J281" t="s">
        <v>238</v>
      </c>
      <c r="K281" t="s">
        <v>239</v>
      </c>
      <c r="L281" t="s">
        <v>255</v>
      </c>
    </row>
    <row r="282" spans="1:12">
      <c r="A282">
        <v>307</v>
      </c>
      <c r="B282" t="s">
        <v>206</v>
      </c>
      <c r="C282" t="str">
        <f>_xlfn.XLOOKUP(B282,product!$A$2:$A$20,product!$B$2:$B$20)</f>
        <v>Cooling Pad</v>
      </c>
      <c r="D282" t="str">
        <f>_xlfn.XLOOKUP(C282,product!$B$2:$B$20,product!$C$2:$C$20)</f>
        <v>Laptop Accessories</v>
      </c>
      <c r="E282">
        <v>263</v>
      </c>
      <c r="F282">
        <v>2482</v>
      </c>
      <c r="G282">
        <v>652766</v>
      </c>
      <c r="H282" s="12">
        <v>44842</v>
      </c>
      <c r="I282" t="s">
        <v>258</v>
      </c>
      <c r="J282" t="s">
        <v>241</v>
      </c>
      <c r="K282" t="s">
        <v>235</v>
      </c>
      <c r="L282" t="s">
        <v>257</v>
      </c>
    </row>
    <row r="283" spans="1:12">
      <c r="A283">
        <v>407</v>
      </c>
      <c r="B283" t="s">
        <v>196</v>
      </c>
      <c r="C283" t="str">
        <f>_xlfn.XLOOKUP(B283,product!$A$2:$A$20,product!$B$2:$B$20)</f>
        <v>SSD</v>
      </c>
      <c r="D283" t="str">
        <f>_xlfn.XLOOKUP(C283,product!$B$2:$B$20,product!$C$2:$C$20)</f>
        <v>Internal Hardware</v>
      </c>
      <c r="E283">
        <v>259</v>
      </c>
      <c r="F283">
        <v>2653</v>
      </c>
      <c r="G283">
        <v>687127</v>
      </c>
      <c r="H283" s="12">
        <v>44843</v>
      </c>
      <c r="I283" t="s">
        <v>260</v>
      </c>
      <c r="J283" t="s">
        <v>241</v>
      </c>
      <c r="K283" t="s">
        <v>248</v>
      </c>
      <c r="L283" t="s">
        <v>259</v>
      </c>
    </row>
    <row r="284" spans="1:12">
      <c r="A284">
        <v>451</v>
      </c>
      <c r="B284" t="s">
        <v>198</v>
      </c>
      <c r="C284" t="str">
        <f>_xlfn.XLOOKUP(B284,product!$A$2:$A$20,product!$B$2:$B$20)</f>
        <v>HDMI Cable</v>
      </c>
      <c r="D284" t="str">
        <f>_xlfn.XLOOKUP(C284,product!$B$2:$B$20,product!$C$2:$C$20)</f>
        <v>Cables &amp; Connectors</v>
      </c>
      <c r="E284">
        <v>146</v>
      </c>
      <c r="F284">
        <v>4539</v>
      </c>
      <c r="G284">
        <v>662694</v>
      </c>
      <c r="H284" s="12">
        <v>44844</v>
      </c>
      <c r="I284" t="s">
        <v>233</v>
      </c>
      <c r="J284" t="s">
        <v>234</v>
      </c>
      <c r="K284" t="s">
        <v>248</v>
      </c>
      <c r="L284" t="s">
        <v>261</v>
      </c>
    </row>
    <row r="285" spans="1:12">
      <c r="A285">
        <v>201</v>
      </c>
      <c r="B285" t="s">
        <v>201</v>
      </c>
      <c r="C285" t="str">
        <f>_xlfn.XLOOKUP(B285,product!$A$2:$A$20,product!$B$2:$B$20)</f>
        <v>Webcam</v>
      </c>
      <c r="D285" t="str">
        <f>_xlfn.XLOOKUP(C285,product!$B$2:$B$20,product!$C$2:$C$20)</f>
        <v>Peripherals</v>
      </c>
      <c r="E285">
        <v>218</v>
      </c>
      <c r="F285">
        <v>2285</v>
      </c>
      <c r="G285">
        <v>498130</v>
      </c>
      <c r="H285" s="12">
        <v>44845</v>
      </c>
      <c r="I285" t="s">
        <v>237</v>
      </c>
      <c r="J285" t="s">
        <v>238</v>
      </c>
      <c r="K285" t="s">
        <v>248</v>
      </c>
      <c r="L285" t="s">
        <v>262</v>
      </c>
    </row>
    <row r="286" spans="1:12">
      <c r="A286">
        <v>480</v>
      </c>
      <c r="B286" t="s">
        <v>181</v>
      </c>
      <c r="C286" t="str">
        <f>_xlfn.XLOOKUP(B286,product!$A$2:$A$20,product!$B$2:$B$20)</f>
        <v>Keyboard</v>
      </c>
      <c r="D286" t="str">
        <f>_xlfn.XLOOKUP(C286,product!$B$2:$B$20,product!$C$2:$C$20)</f>
        <v>Input Device</v>
      </c>
      <c r="E286">
        <v>283</v>
      </c>
      <c r="F286">
        <v>4452</v>
      </c>
      <c r="G286">
        <v>1259916</v>
      </c>
      <c r="H286" s="12">
        <v>44846</v>
      </c>
      <c r="I286" t="s">
        <v>90</v>
      </c>
      <c r="J286" t="s">
        <v>241</v>
      </c>
      <c r="K286" t="s">
        <v>239</v>
      </c>
      <c r="L286" t="s">
        <v>263</v>
      </c>
    </row>
    <row r="287" spans="1:12">
      <c r="A287">
        <v>479</v>
      </c>
      <c r="B287" t="s">
        <v>211</v>
      </c>
      <c r="C287" t="str">
        <f>_xlfn.XLOOKUP(B287,product!$A$2:$A$20,product!$B$2:$B$20)</f>
        <v>Printer</v>
      </c>
      <c r="D287" t="str">
        <f>_xlfn.XLOOKUP(C287,product!$B$2:$B$20,product!$C$2:$C$20)</f>
        <v>Peripherals</v>
      </c>
      <c r="E287">
        <v>146</v>
      </c>
      <c r="F287">
        <v>3843</v>
      </c>
      <c r="G287">
        <v>561078</v>
      </c>
      <c r="H287" s="12">
        <v>44847</v>
      </c>
      <c r="I287" t="s">
        <v>243</v>
      </c>
      <c r="J287" t="s">
        <v>238</v>
      </c>
      <c r="K287" t="s">
        <v>248</v>
      </c>
      <c r="L287" t="s">
        <v>236</v>
      </c>
    </row>
    <row r="288" spans="1:12">
      <c r="A288">
        <v>302</v>
      </c>
      <c r="B288" t="s">
        <v>198</v>
      </c>
      <c r="C288" t="str">
        <f>_xlfn.XLOOKUP(B288,product!$A$2:$A$20,product!$B$2:$B$20)</f>
        <v>HDMI Cable</v>
      </c>
      <c r="D288" t="str">
        <f>_xlfn.XLOOKUP(C288,product!$B$2:$B$20,product!$C$2:$C$20)</f>
        <v>Cables &amp; Connectors</v>
      </c>
      <c r="E288">
        <v>103</v>
      </c>
      <c r="F288">
        <v>4750</v>
      </c>
      <c r="G288">
        <v>489250</v>
      </c>
      <c r="H288" s="12">
        <v>44848</v>
      </c>
      <c r="I288" t="s">
        <v>245</v>
      </c>
      <c r="J288" t="s">
        <v>241</v>
      </c>
      <c r="K288" t="s">
        <v>239</v>
      </c>
      <c r="L288" t="s">
        <v>240</v>
      </c>
    </row>
    <row r="289" spans="1:12">
      <c r="A289">
        <v>265</v>
      </c>
      <c r="B289" t="s">
        <v>206</v>
      </c>
      <c r="C289" t="str">
        <f>_xlfn.XLOOKUP(B289,product!$A$2:$A$20,product!$B$2:$B$20)</f>
        <v>Cooling Pad</v>
      </c>
      <c r="D289" t="str">
        <f>_xlfn.XLOOKUP(C289,product!$B$2:$B$20,product!$C$2:$C$20)</f>
        <v>Laptop Accessories</v>
      </c>
      <c r="E289">
        <v>268</v>
      </c>
      <c r="F289">
        <v>2384</v>
      </c>
      <c r="G289">
        <v>638912</v>
      </c>
      <c r="H289" s="12">
        <v>44849</v>
      </c>
      <c r="I289" t="s">
        <v>247</v>
      </c>
      <c r="J289" t="s">
        <v>234</v>
      </c>
      <c r="K289" t="s">
        <v>235</v>
      </c>
      <c r="L289" t="s">
        <v>242</v>
      </c>
    </row>
    <row r="290" spans="1:12">
      <c r="A290">
        <v>237</v>
      </c>
      <c r="B290" t="s">
        <v>213</v>
      </c>
      <c r="C290" t="str">
        <f>_xlfn.XLOOKUP(B290,product!$A$2:$A$20,product!$B$2:$B$20)</f>
        <v>Scanner</v>
      </c>
      <c r="D290" t="str">
        <f>_xlfn.XLOOKUP(C290,product!$B$2:$B$20,product!$C$2:$C$20)</f>
        <v>Peripherals</v>
      </c>
      <c r="E290">
        <v>201</v>
      </c>
      <c r="F290">
        <v>4028</v>
      </c>
      <c r="G290">
        <v>809628</v>
      </c>
      <c r="H290" s="12">
        <v>44850</v>
      </c>
      <c r="I290" t="s">
        <v>250</v>
      </c>
      <c r="J290" t="s">
        <v>234</v>
      </c>
      <c r="K290" t="s">
        <v>235</v>
      </c>
      <c r="L290" t="s">
        <v>244</v>
      </c>
    </row>
    <row r="291" spans="1:12">
      <c r="A291">
        <v>220</v>
      </c>
      <c r="B291" t="s">
        <v>181</v>
      </c>
      <c r="C291" t="str">
        <f>_xlfn.XLOOKUP(B291,product!$A$2:$A$20,product!$B$2:$B$20)</f>
        <v>Keyboard</v>
      </c>
      <c r="D291" t="str">
        <f>_xlfn.XLOOKUP(C291,product!$B$2:$B$20,product!$C$2:$C$20)</f>
        <v>Input Device</v>
      </c>
      <c r="E291">
        <v>134</v>
      </c>
      <c r="F291">
        <v>3712</v>
      </c>
      <c r="G291">
        <v>497408</v>
      </c>
      <c r="H291" s="12">
        <v>44851</v>
      </c>
      <c r="I291" t="s">
        <v>64</v>
      </c>
      <c r="J291" t="s">
        <v>241</v>
      </c>
      <c r="K291" t="s">
        <v>235</v>
      </c>
      <c r="L291" t="s">
        <v>246</v>
      </c>
    </row>
    <row r="292" spans="1:12">
      <c r="A292">
        <v>343</v>
      </c>
      <c r="B292" t="s">
        <v>206</v>
      </c>
      <c r="C292" t="str">
        <f>_xlfn.XLOOKUP(B292,product!$A$2:$A$20,product!$B$2:$B$20)</f>
        <v>Cooling Pad</v>
      </c>
      <c r="D292" t="str">
        <f>_xlfn.XLOOKUP(C292,product!$B$2:$B$20,product!$C$2:$C$20)</f>
        <v>Laptop Accessories</v>
      </c>
      <c r="E292">
        <v>253</v>
      </c>
      <c r="F292">
        <v>2107</v>
      </c>
      <c r="G292">
        <v>533071</v>
      </c>
      <c r="H292" s="12">
        <v>44852</v>
      </c>
      <c r="I292" t="s">
        <v>254</v>
      </c>
      <c r="J292" t="s">
        <v>241</v>
      </c>
      <c r="K292" t="s">
        <v>248</v>
      </c>
      <c r="L292" t="s">
        <v>249</v>
      </c>
    </row>
    <row r="293" spans="1:12">
      <c r="A293">
        <v>323</v>
      </c>
      <c r="B293" t="s">
        <v>211</v>
      </c>
      <c r="C293" t="str">
        <f>_xlfn.XLOOKUP(B293,product!$A$2:$A$20,product!$B$2:$B$20)</f>
        <v>Printer</v>
      </c>
      <c r="D293" t="str">
        <f>_xlfn.XLOOKUP(C293,product!$B$2:$B$20,product!$C$2:$C$20)</f>
        <v>Peripherals</v>
      </c>
      <c r="E293">
        <v>258</v>
      </c>
      <c r="F293">
        <v>3103</v>
      </c>
      <c r="G293">
        <v>800574</v>
      </c>
      <c r="H293" s="12">
        <v>44853</v>
      </c>
      <c r="I293" t="s">
        <v>256</v>
      </c>
      <c r="J293" t="s">
        <v>234</v>
      </c>
      <c r="K293" t="s">
        <v>248</v>
      </c>
      <c r="L293" t="s">
        <v>251</v>
      </c>
    </row>
    <row r="294" spans="1:12">
      <c r="A294">
        <v>310</v>
      </c>
      <c r="B294" t="s">
        <v>194</v>
      </c>
      <c r="C294" t="str">
        <f>_xlfn.XLOOKUP(B294,product!$A$2:$A$20,product!$B$2:$B$20)</f>
        <v>RAM Module</v>
      </c>
      <c r="D294" t="str">
        <f>_xlfn.XLOOKUP(C294,product!$B$2:$B$20,product!$C$2:$C$20)</f>
        <v>Internal Hardware</v>
      </c>
      <c r="E294">
        <v>211</v>
      </c>
      <c r="F294">
        <v>4175</v>
      </c>
      <c r="G294">
        <v>880925</v>
      </c>
      <c r="H294" s="12">
        <v>44854</v>
      </c>
      <c r="I294" t="s">
        <v>258</v>
      </c>
      <c r="J294" t="s">
        <v>234</v>
      </c>
      <c r="K294" t="s">
        <v>239</v>
      </c>
      <c r="L294" t="s">
        <v>252</v>
      </c>
    </row>
    <row r="295" spans="1:12">
      <c r="A295">
        <v>415</v>
      </c>
      <c r="B295" t="s">
        <v>194</v>
      </c>
      <c r="C295" t="str">
        <f>_xlfn.XLOOKUP(B295,product!$A$2:$A$20,product!$B$2:$B$20)</f>
        <v>RAM Module</v>
      </c>
      <c r="D295" t="str">
        <f>_xlfn.XLOOKUP(C295,product!$B$2:$B$20,product!$C$2:$C$20)</f>
        <v>Internal Hardware</v>
      </c>
      <c r="E295">
        <v>253</v>
      </c>
      <c r="F295">
        <v>4983</v>
      </c>
      <c r="G295">
        <v>1260699</v>
      </c>
      <c r="H295" s="12">
        <v>44855</v>
      </c>
      <c r="I295" t="s">
        <v>260</v>
      </c>
      <c r="J295" t="s">
        <v>238</v>
      </c>
      <c r="K295" t="s">
        <v>235</v>
      </c>
      <c r="L295" t="s">
        <v>253</v>
      </c>
    </row>
    <row r="296" spans="1:12">
      <c r="A296">
        <v>379</v>
      </c>
      <c r="B296" t="s">
        <v>203</v>
      </c>
      <c r="C296" t="str">
        <f>_xlfn.XLOOKUP(B296,product!$A$2:$A$20,product!$B$2:$B$20)</f>
        <v>Laptop Stand</v>
      </c>
      <c r="D296" t="str">
        <f>_xlfn.XLOOKUP(C296,product!$B$2:$B$20,product!$C$2:$C$20)</f>
        <v>Laptop Accessories</v>
      </c>
      <c r="E296">
        <v>154</v>
      </c>
      <c r="F296">
        <v>3091</v>
      </c>
      <c r="G296">
        <v>476014</v>
      </c>
      <c r="H296" s="12">
        <v>44856</v>
      </c>
      <c r="I296" t="s">
        <v>233</v>
      </c>
      <c r="J296" t="s">
        <v>238</v>
      </c>
      <c r="K296" t="s">
        <v>235</v>
      </c>
      <c r="L296" t="s">
        <v>255</v>
      </c>
    </row>
    <row r="297" spans="1:12">
      <c r="A297">
        <v>407</v>
      </c>
      <c r="B297" t="s">
        <v>183</v>
      </c>
      <c r="C297" t="str">
        <f>_xlfn.XLOOKUP(B297,product!$A$2:$A$20,product!$B$2:$B$20)</f>
        <v>Mouse</v>
      </c>
      <c r="D297" t="str">
        <f>_xlfn.XLOOKUP(C297,product!$B$2:$B$20,product!$C$2:$C$20)</f>
        <v>Input Device</v>
      </c>
      <c r="E297">
        <v>224</v>
      </c>
      <c r="F297">
        <v>3495</v>
      </c>
      <c r="G297">
        <v>782880</v>
      </c>
      <c r="H297" s="12">
        <v>44857</v>
      </c>
      <c r="I297" t="s">
        <v>237</v>
      </c>
      <c r="J297" t="s">
        <v>238</v>
      </c>
      <c r="K297" t="s">
        <v>248</v>
      </c>
      <c r="L297" t="s">
        <v>257</v>
      </c>
    </row>
    <row r="298" spans="1:12">
      <c r="A298">
        <v>441</v>
      </c>
      <c r="B298" t="s">
        <v>208</v>
      </c>
      <c r="C298" t="str">
        <f>_xlfn.XLOOKUP(B298,product!$A$2:$A$20,product!$B$2:$B$20)</f>
        <v>Headset</v>
      </c>
      <c r="D298" t="str">
        <f>_xlfn.XLOOKUP(C298,product!$B$2:$B$20,product!$C$2:$C$20)</f>
        <v>Audio</v>
      </c>
      <c r="E298">
        <v>236</v>
      </c>
      <c r="F298">
        <v>3469</v>
      </c>
      <c r="G298">
        <v>818684</v>
      </c>
      <c r="H298" s="12">
        <v>44858</v>
      </c>
      <c r="I298" t="s">
        <v>90</v>
      </c>
      <c r="J298" t="s">
        <v>238</v>
      </c>
      <c r="K298" t="s">
        <v>235</v>
      </c>
      <c r="L298" t="s">
        <v>259</v>
      </c>
    </row>
    <row r="299" spans="1:12">
      <c r="A299">
        <v>381</v>
      </c>
      <c r="B299" t="s">
        <v>208</v>
      </c>
      <c r="C299" t="str">
        <f>_xlfn.XLOOKUP(B299,product!$A$2:$A$20,product!$B$2:$B$20)</f>
        <v>Headset</v>
      </c>
      <c r="D299" t="str">
        <f>_xlfn.XLOOKUP(C299,product!$B$2:$B$20,product!$C$2:$C$20)</f>
        <v>Audio</v>
      </c>
      <c r="E299">
        <v>159</v>
      </c>
      <c r="F299">
        <v>4928</v>
      </c>
      <c r="G299">
        <v>783552</v>
      </c>
      <c r="H299" s="12">
        <v>44859</v>
      </c>
      <c r="I299" t="s">
        <v>243</v>
      </c>
      <c r="J299" t="s">
        <v>234</v>
      </c>
      <c r="K299" t="s">
        <v>235</v>
      </c>
      <c r="L299" t="s">
        <v>261</v>
      </c>
    </row>
    <row r="300" spans="1:12">
      <c r="A300">
        <v>484</v>
      </c>
      <c r="B300" t="s">
        <v>208</v>
      </c>
      <c r="C300" t="str">
        <f>_xlfn.XLOOKUP(B300,product!$A$2:$A$20,product!$B$2:$B$20)</f>
        <v>Headset</v>
      </c>
      <c r="D300" t="str">
        <f>_xlfn.XLOOKUP(C300,product!$B$2:$B$20,product!$C$2:$C$20)</f>
        <v>Audio</v>
      </c>
      <c r="E300">
        <v>180</v>
      </c>
      <c r="F300">
        <v>3858</v>
      </c>
      <c r="G300">
        <v>694440</v>
      </c>
      <c r="H300" s="12">
        <v>44860</v>
      </c>
      <c r="I300" t="s">
        <v>245</v>
      </c>
      <c r="J300" t="s">
        <v>241</v>
      </c>
      <c r="K300" t="s">
        <v>248</v>
      </c>
      <c r="L300" t="s">
        <v>262</v>
      </c>
    </row>
    <row r="301" spans="1:12">
      <c r="A301">
        <v>248</v>
      </c>
      <c r="B301" t="s">
        <v>183</v>
      </c>
      <c r="C301" t="str">
        <f>_xlfn.XLOOKUP(B301,product!$A$2:$A$20,product!$B$2:$B$20)</f>
        <v>Mouse</v>
      </c>
      <c r="D301" t="str">
        <f>_xlfn.XLOOKUP(C301,product!$B$2:$B$20,product!$C$2:$C$20)</f>
        <v>Input Device</v>
      </c>
      <c r="E301">
        <v>261</v>
      </c>
      <c r="F301">
        <v>3264</v>
      </c>
      <c r="G301">
        <v>851904</v>
      </c>
      <c r="H301" s="12">
        <v>44861</v>
      </c>
      <c r="I301" t="s">
        <v>247</v>
      </c>
      <c r="J301" t="s">
        <v>241</v>
      </c>
      <c r="K301" t="s">
        <v>235</v>
      </c>
      <c r="L301" t="s">
        <v>263</v>
      </c>
    </row>
    <row r="302" spans="1:12">
      <c r="A302">
        <v>206</v>
      </c>
      <c r="B302" t="s">
        <v>203</v>
      </c>
      <c r="C302" t="str">
        <f>_xlfn.XLOOKUP(B302,product!$A$2:$A$20,product!$B$2:$B$20)</f>
        <v>Laptop Stand</v>
      </c>
      <c r="D302" t="str">
        <f>_xlfn.XLOOKUP(C302,product!$B$2:$B$20,product!$C$2:$C$20)</f>
        <v>Laptop Accessories</v>
      </c>
      <c r="E302">
        <v>288</v>
      </c>
      <c r="F302">
        <v>2389</v>
      </c>
      <c r="G302">
        <v>688032</v>
      </c>
      <c r="H302" s="12">
        <v>44862</v>
      </c>
      <c r="I302" t="s">
        <v>250</v>
      </c>
      <c r="J302" t="s">
        <v>234</v>
      </c>
      <c r="K302" t="s">
        <v>235</v>
      </c>
      <c r="L302" t="s">
        <v>236</v>
      </c>
    </row>
    <row r="303" spans="1:12">
      <c r="A303">
        <v>465</v>
      </c>
      <c r="B303" t="s">
        <v>196</v>
      </c>
      <c r="C303" t="str">
        <f>_xlfn.XLOOKUP(B303,product!$A$2:$A$20,product!$B$2:$B$20)</f>
        <v>SSD</v>
      </c>
      <c r="D303" t="str">
        <f>_xlfn.XLOOKUP(C303,product!$B$2:$B$20,product!$C$2:$C$20)</f>
        <v>Internal Hardware</v>
      </c>
      <c r="E303">
        <v>226</v>
      </c>
      <c r="F303">
        <v>4196</v>
      </c>
      <c r="G303">
        <v>948296</v>
      </c>
      <c r="H303" s="12">
        <v>44863</v>
      </c>
      <c r="I303" t="s">
        <v>64</v>
      </c>
      <c r="J303" t="s">
        <v>238</v>
      </c>
      <c r="K303" t="s">
        <v>239</v>
      </c>
      <c r="L303" t="s">
        <v>240</v>
      </c>
    </row>
    <row r="304" spans="1:12">
      <c r="A304">
        <v>484</v>
      </c>
      <c r="B304" t="s">
        <v>217</v>
      </c>
      <c r="C304" t="str">
        <f>_xlfn.XLOOKUP(B304,product!$A$2:$A$20,product!$B$2:$B$20)</f>
        <v>Wireless Router</v>
      </c>
      <c r="D304" t="str">
        <f>_xlfn.XLOOKUP(C304,product!$B$2:$B$20,product!$C$2:$C$20)</f>
        <v>Network</v>
      </c>
      <c r="E304">
        <v>128</v>
      </c>
      <c r="F304">
        <v>2481</v>
      </c>
      <c r="G304">
        <v>317568</v>
      </c>
      <c r="H304" s="12">
        <v>44864</v>
      </c>
      <c r="I304" t="s">
        <v>245</v>
      </c>
      <c r="J304" t="s">
        <v>241</v>
      </c>
      <c r="K304" t="s">
        <v>235</v>
      </c>
      <c r="L304" t="s">
        <v>242</v>
      </c>
    </row>
    <row r="305" spans="1:12">
      <c r="A305">
        <v>340</v>
      </c>
      <c r="B305" t="s">
        <v>189</v>
      </c>
      <c r="C305" t="str">
        <f>_xlfn.XLOOKUP(B305,product!$A$2:$A$20,product!$B$2:$B$20)</f>
        <v>Monitor</v>
      </c>
      <c r="D305" t="str">
        <f>_xlfn.XLOOKUP(C305,product!$B$2:$B$20,product!$C$2:$C$20)</f>
        <v>Display</v>
      </c>
      <c r="E305">
        <v>290</v>
      </c>
      <c r="F305">
        <v>2943</v>
      </c>
      <c r="G305">
        <v>853470</v>
      </c>
      <c r="H305" s="12">
        <v>44865</v>
      </c>
      <c r="I305" t="s">
        <v>247</v>
      </c>
      <c r="J305" t="s">
        <v>234</v>
      </c>
      <c r="K305" t="s">
        <v>239</v>
      </c>
      <c r="L305" t="s">
        <v>244</v>
      </c>
    </row>
    <row r="306" spans="1:12">
      <c r="A306">
        <v>377</v>
      </c>
      <c r="B306" t="s">
        <v>203</v>
      </c>
      <c r="C306" t="str">
        <f>_xlfn.XLOOKUP(B306,product!$A$2:$A$20,product!$B$2:$B$20)</f>
        <v>Laptop Stand</v>
      </c>
      <c r="D306" t="str">
        <f>_xlfn.XLOOKUP(C306,product!$B$2:$B$20,product!$C$2:$C$20)</f>
        <v>Laptop Accessories</v>
      </c>
      <c r="E306">
        <v>174</v>
      </c>
      <c r="F306">
        <v>2158</v>
      </c>
      <c r="G306">
        <v>375492</v>
      </c>
      <c r="H306" s="12">
        <v>44866</v>
      </c>
      <c r="I306" t="s">
        <v>250</v>
      </c>
      <c r="J306" t="s">
        <v>234</v>
      </c>
      <c r="K306" t="s">
        <v>235</v>
      </c>
      <c r="L306" t="s">
        <v>246</v>
      </c>
    </row>
    <row r="307" spans="1:12">
      <c r="A307">
        <v>359</v>
      </c>
      <c r="B307" t="s">
        <v>191</v>
      </c>
      <c r="C307" t="str">
        <f>_xlfn.XLOOKUP(B307,product!$A$2:$A$20,product!$B$2:$B$20)</f>
        <v>Graphics Card</v>
      </c>
      <c r="D307" t="str">
        <f>_xlfn.XLOOKUP(C307,product!$B$2:$B$20,product!$C$2:$C$20)</f>
        <v>Internal Hardware</v>
      </c>
      <c r="E307">
        <v>198</v>
      </c>
      <c r="F307">
        <v>3492</v>
      </c>
      <c r="G307">
        <v>691416</v>
      </c>
      <c r="H307" s="12">
        <v>44867</v>
      </c>
      <c r="I307" t="s">
        <v>64</v>
      </c>
      <c r="J307" t="s">
        <v>238</v>
      </c>
      <c r="K307" t="s">
        <v>248</v>
      </c>
      <c r="L307" t="s">
        <v>249</v>
      </c>
    </row>
    <row r="308" spans="1:12">
      <c r="A308">
        <v>439</v>
      </c>
      <c r="B308" t="s">
        <v>181</v>
      </c>
      <c r="C308" t="str">
        <f>_xlfn.XLOOKUP(B308,product!$A$2:$A$20,product!$B$2:$B$20)</f>
        <v>Keyboard</v>
      </c>
      <c r="D308" t="str">
        <f>_xlfn.XLOOKUP(C308,product!$B$2:$B$20,product!$C$2:$C$20)</f>
        <v>Input Device</v>
      </c>
      <c r="E308">
        <v>186</v>
      </c>
      <c r="F308">
        <v>2187</v>
      </c>
      <c r="G308">
        <v>406782</v>
      </c>
      <c r="H308" s="12">
        <v>44868</v>
      </c>
      <c r="I308" t="s">
        <v>59</v>
      </c>
      <c r="J308" t="s">
        <v>234</v>
      </c>
      <c r="K308" t="s">
        <v>239</v>
      </c>
      <c r="L308" t="s">
        <v>251</v>
      </c>
    </row>
    <row r="309" spans="1:12">
      <c r="A309">
        <v>485</v>
      </c>
      <c r="B309" t="s">
        <v>189</v>
      </c>
      <c r="C309" t="str">
        <f>_xlfn.XLOOKUP(B309,product!$A$2:$A$20,product!$B$2:$B$20)</f>
        <v>Monitor</v>
      </c>
      <c r="D309" t="str">
        <f>_xlfn.XLOOKUP(C309,product!$B$2:$B$20,product!$C$2:$C$20)</f>
        <v>Display</v>
      </c>
      <c r="E309">
        <v>194</v>
      </c>
      <c r="F309">
        <v>4154</v>
      </c>
      <c r="G309">
        <v>805876</v>
      </c>
      <c r="H309" s="12">
        <v>44869</v>
      </c>
      <c r="I309" t="s">
        <v>254</v>
      </c>
      <c r="J309" t="s">
        <v>238</v>
      </c>
      <c r="K309" t="s">
        <v>235</v>
      </c>
      <c r="L309" t="s">
        <v>252</v>
      </c>
    </row>
    <row r="310" spans="1:12">
      <c r="A310">
        <v>380</v>
      </c>
      <c r="B310" t="s">
        <v>183</v>
      </c>
      <c r="C310" t="str">
        <f>_xlfn.XLOOKUP(B310,product!$A$2:$A$20,product!$B$2:$B$20)</f>
        <v>Mouse</v>
      </c>
      <c r="D310" t="str">
        <f>_xlfn.XLOOKUP(C310,product!$B$2:$B$20,product!$C$2:$C$20)</f>
        <v>Input Device</v>
      </c>
      <c r="E310">
        <v>198</v>
      </c>
      <c r="F310">
        <v>4058</v>
      </c>
      <c r="G310">
        <v>803484</v>
      </c>
      <c r="H310" s="12">
        <v>44870</v>
      </c>
      <c r="I310" t="s">
        <v>256</v>
      </c>
      <c r="J310" t="s">
        <v>234</v>
      </c>
      <c r="K310" t="s">
        <v>248</v>
      </c>
      <c r="L310" t="s">
        <v>253</v>
      </c>
    </row>
    <row r="311" spans="1:12">
      <c r="A311">
        <v>381</v>
      </c>
      <c r="B311" t="s">
        <v>208</v>
      </c>
      <c r="C311" t="str">
        <f>_xlfn.XLOOKUP(B311,product!$A$2:$A$20,product!$B$2:$B$20)</f>
        <v>Headset</v>
      </c>
      <c r="D311" t="str">
        <f>_xlfn.XLOOKUP(C311,product!$B$2:$B$20,product!$C$2:$C$20)</f>
        <v>Audio</v>
      </c>
      <c r="E311">
        <v>190</v>
      </c>
      <c r="F311">
        <v>3383</v>
      </c>
      <c r="G311">
        <v>642770</v>
      </c>
      <c r="H311" s="12">
        <v>44871</v>
      </c>
      <c r="I311" t="s">
        <v>258</v>
      </c>
      <c r="J311" t="s">
        <v>234</v>
      </c>
      <c r="K311" t="s">
        <v>239</v>
      </c>
      <c r="L311" t="s">
        <v>255</v>
      </c>
    </row>
    <row r="312" spans="1:12">
      <c r="A312">
        <v>372</v>
      </c>
      <c r="B312" t="s">
        <v>184</v>
      </c>
      <c r="C312" t="str">
        <f>_xlfn.XLOOKUP(B312,product!$A$2:$A$20,product!$B$2:$B$20)</f>
        <v>Hard Drive</v>
      </c>
      <c r="D312" t="str">
        <f>_xlfn.XLOOKUP(C312,product!$B$2:$B$20,product!$C$2:$C$20)</f>
        <v>Storage</v>
      </c>
      <c r="E312">
        <v>186</v>
      </c>
      <c r="F312">
        <v>4947</v>
      </c>
      <c r="G312">
        <v>920142</v>
      </c>
      <c r="H312" s="12">
        <v>44872</v>
      </c>
      <c r="I312" t="s">
        <v>260</v>
      </c>
      <c r="J312" t="s">
        <v>238</v>
      </c>
      <c r="K312" t="s">
        <v>248</v>
      </c>
      <c r="L312" t="s">
        <v>257</v>
      </c>
    </row>
    <row r="313" spans="1:12">
      <c r="A313">
        <v>268</v>
      </c>
      <c r="B313" t="s">
        <v>189</v>
      </c>
      <c r="C313" t="str">
        <f>_xlfn.XLOOKUP(B313,product!$A$2:$A$20,product!$B$2:$B$20)</f>
        <v>Monitor</v>
      </c>
      <c r="D313" t="str">
        <f>_xlfn.XLOOKUP(C313,product!$B$2:$B$20,product!$C$2:$C$20)</f>
        <v>Display</v>
      </c>
      <c r="E313">
        <v>241</v>
      </c>
      <c r="F313">
        <v>4055</v>
      </c>
      <c r="G313">
        <v>977255</v>
      </c>
      <c r="H313" s="12">
        <v>44873</v>
      </c>
      <c r="I313" t="s">
        <v>233</v>
      </c>
      <c r="J313" t="s">
        <v>241</v>
      </c>
      <c r="K313" t="s">
        <v>235</v>
      </c>
      <c r="L313" t="s">
        <v>259</v>
      </c>
    </row>
    <row r="314" spans="1:12">
      <c r="A314">
        <v>387</v>
      </c>
      <c r="B314" t="s">
        <v>215</v>
      </c>
      <c r="C314" t="str">
        <f>_xlfn.XLOOKUP(B314,product!$A$2:$A$20,product!$B$2:$B$20)</f>
        <v>Speakers</v>
      </c>
      <c r="D314" t="str">
        <f>_xlfn.XLOOKUP(C314,product!$B$2:$B$20,product!$C$2:$C$20)</f>
        <v>Audio</v>
      </c>
      <c r="E314">
        <v>206</v>
      </c>
      <c r="F314">
        <v>2270</v>
      </c>
      <c r="G314">
        <v>467620</v>
      </c>
      <c r="H314" s="12">
        <v>44874</v>
      </c>
      <c r="I314" t="s">
        <v>237</v>
      </c>
      <c r="J314" t="s">
        <v>234</v>
      </c>
      <c r="K314" t="s">
        <v>248</v>
      </c>
      <c r="L314" t="s">
        <v>261</v>
      </c>
    </row>
    <row r="315" spans="1:12">
      <c r="A315">
        <v>436</v>
      </c>
      <c r="B315" t="s">
        <v>213</v>
      </c>
      <c r="C315" t="str">
        <f>_xlfn.XLOOKUP(B315,product!$A$2:$A$20,product!$B$2:$B$20)</f>
        <v>Scanner</v>
      </c>
      <c r="D315" t="str">
        <f>_xlfn.XLOOKUP(C315,product!$B$2:$B$20,product!$C$2:$C$20)</f>
        <v>Peripherals</v>
      </c>
      <c r="E315">
        <v>170</v>
      </c>
      <c r="F315">
        <v>3259</v>
      </c>
      <c r="G315">
        <v>554030</v>
      </c>
      <c r="H315" s="12">
        <v>44875</v>
      </c>
      <c r="I315" t="s">
        <v>90</v>
      </c>
      <c r="J315" t="s">
        <v>238</v>
      </c>
      <c r="K315" t="s">
        <v>235</v>
      </c>
      <c r="L315" t="s">
        <v>262</v>
      </c>
    </row>
    <row r="316" spans="1:12">
      <c r="A316">
        <v>280</v>
      </c>
      <c r="B316" t="s">
        <v>215</v>
      </c>
      <c r="C316" t="str">
        <f>_xlfn.XLOOKUP(B316,product!$A$2:$A$20,product!$B$2:$B$20)</f>
        <v>Speakers</v>
      </c>
      <c r="D316" t="str">
        <f>_xlfn.XLOOKUP(C316,product!$B$2:$B$20,product!$C$2:$C$20)</f>
        <v>Audio</v>
      </c>
      <c r="E316">
        <v>133</v>
      </c>
      <c r="F316">
        <v>2593</v>
      </c>
      <c r="G316">
        <v>344869</v>
      </c>
      <c r="H316" s="12">
        <v>44876</v>
      </c>
      <c r="I316" t="s">
        <v>243</v>
      </c>
      <c r="J316" t="s">
        <v>238</v>
      </c>
      <c r="K316" t="s">
        <v>248</v>
      </c>
      <c r="L316" t="s">
        <v>263</v>
      </c>
    </row>
    <row r="317" spans="1:12">
      <c r="A317">
        <v>494</v>
      </c>
      <c r="B317" t="s">
        <v>191</v>
      </c>
      <c r="C317" t="str">
        <f>_xlfn.XLOOKUP(B317,product!$A$2:$A$20,product!$B$2:$B$20)</f>
        <v>Graphics Card</v>
      </c>
      <c r="D317" t="str">
        <f>_xlfn.XLOOKUP(C317,product!$B$2:$B$20,product!$C$2:$C$20)</f>
        <v>Internal Hardware</v>
      </c>
      <c r="E317">
        <v>128</v>
      </c>
      <c r="F317">
        <v>2548</v>
      </c>
      <c r="G317">
        <v>326144</v>
      </c>
      <c r="H317" s="12">
        <v>44877</v>
      </c>
      <c r="I317" t="s">
        <v>245</v>
      </c>
      <c r="J317" t="s">
        <v>234</v>
      </c>
      <c r="K317" t="s">
        <v>235</v>
      </c>
      <c r="L317" t="s">
        <v>236</v>
      </c>
    </row>
    <row r="318" spans="1:12">
      <c r="A318">
        <v>430</v>
      </c>
      <c r="B318" t="s">
        <v>211</v>
      </c>
      <c r="C318" t="str">
        <f>_xlfn.XLOOKUP(B318,product!$A$2:$A$20,product!$B$2:$B$20)</f>
        <v>Printer</v>
      </c>
      <c r="D318" t="str">
        <f>_xlfn.XLOOKUP(C318,product!$B$2:$B$20,product!$C$2:$C$20)</f>
        <v>Peripherals</v>
      </c>
      <c r="E318">
        <v>289</v>
      </c>
      <c r="F318">
        <v>2251</v>
      </c>
      <c r="G318">
        <v>650539</v>
      </c>
      <c r="H318" s="12">
        <v>44878</v>
      </c>
      <c r="I318" t="s">
        <v>247</v>
      </c>
      <c r="J318" t="s">
        <v>238</v>
      </c>
      <c r="K318" t="s">
        <v>248</v>
      </c>
      <c r="L318" t="s">
        <v>240</v>
      </c>
    </row>
    <row r="319" spans="1:12">
      <c r="A319">
        <v>294</v>
      </c>
      <c r="B319" t="s">
        <v>220</v>
      </c>
      <c r="C319" t="str">
        <f>_xlfn.XLOOKUP(B319,product!$A$2:$A$20,product!$B$2:$B$20)</f>
        <v>Ethernet Cable</v>
      </c>
      <c r="D319" t="str">
        <f>_xlfn.XLOOKUP(C319,product!$B$2:$B$20,product!$C$2:$C$20)</f>
        <v>Cables &amp; Connectors</v>
      </c>
      <c r="E319">
        <v>105</v>
      </c>
      <c r="F319">
        <v>2265</v>
      </c>
      <c r="G319">
        <v>237825</v>
      </c>
      <c r="H319" s="12">
        <v>44879</v>
      </c>
      <c r="I319" t="s">
        <v>250</v>
      </c>
      <c r="J319" t="s">
        <v>234</v>
      </c>
      <c r="K319" t="s">
        <v>248</v>
      </c>
      <c r="L319" t="s">
        <v>242</v>
      </c>
    </row>
    <row r="320" spans="1:12">
      <c r="A320">
        <v>490</v>
      </c>
      <c r="B320" t="s">
        <v>220</v>
      </c>
      <c r="C320" t="str">
        <f>_xlfn.XLOOKUP(B320,product!$A$2:$A$20,product!$B$2:$B$20)</f>
        <v>Ethernet Cable</v>
      </c>
      <c r="D320" t="str">
        <f>_xlfn.XLOOKUP(C320,product!$B$2:$B$20,product!$C$2:$C$20)</f>
        <v>Cables &amp; Connectors</v>
      </c>
      <c r="E320">
        <v>223</v>
      </c>
      <c r="F320">
        <v>2215</v>
      </c>
      <c r="G320">
        <v>493945</v>
      </c>
      <c r="H320" s="12">
        <v>44880</v>
      </c>
      <c r="I320" t="s">
        <v>64</v>
      </c>
      <c r="J320" t="s">
        <v>238</v>
      </c>
      <c r="K320" t="s">
        <v>248</v>
      </c>
      <c r="L320" t="s">
        <v>244</v>
      </c>
    </row>
    <row r="321" spans="1:12">
      <c r="A321">
        <v>258</v>
      </c>
      <c r="B321" t="s">
        <v>215</v>
      </c>
      <c r="C321" t="str">
        <f>_xlfn.XLOOKUP(B321,product!$A$2:$A$20,product!$B$2:$B$20)</f>
        <v>Speakers</v>
      </c>
      <c r="D321" t="str">
        <f>_xlfn.XLOOKUP(C321,product!$B$2:$B$20,product!$C$2:$C$20)</f>
        <v>Audio</v>
      </c>
      <c r="E321">
        <v>276</v>
      </c>
      <c r="F321">
        <v>2085</v>
      </c>
      <c r="G321">
        <v>575460</v>
      </c>
      <c r="H321" s="12">
        <v>44881</v>
      </c>
      <c r="I321" t="s">
        <v>254</v>
      </c>
      <c r="J321" t="s">
        <v>238</v>
      </c>
      <c r="K321" t="s">
        <v>235</v>
      </c>
      <c r="L321" t="s">
        <v>246</v>
      </c>
    </row>
    <row r="322" spans="1:12">
      <c r="A322">
        <v>248</v>
      </c>
      <c r="B322" t="s">
        <v>222</v>
      </c>
      <c r="C322" t="str">
        <f>_xlfn.XLOOKUP(B322,product!$A$2:$A$20,product!$B$2:$B$20)</f>
        <v>Laptop Bag</v>
      </c>
      <c r="D322" t="str">
        <f>_xlfn.XLOOKUP(C322,product!$B$2:$B$20,product!$C$2:$C$20)</f>
        <v>Laptop Accessories</v>
      </c>
      <c r="E322">
        <v>300</v>
      </c>
      <c r="F322">
        <v>4712</v>
      </c>
      <c r="G322">
        <v>1413600</v>
      </c>
      <c r="H322" s="12">
        <v>44882</v>
      </c>
      <c r="I322" t="s">
        <v>256</v>
      </c>
      <c r="J322" t="s">
        <v>238</v>
      </c>
      <c r="K322" t="s">
        <v>248</v>
      </c>
      <c r="L322" t="s">
        <v>249</v>
      </c>
    </row>
    <row r="323" spans="1:12">
      <c r="A323">
        <v>477</v>
      </c>
      <c r="B323" t="s">
        <v>206</v>
      </c>
      <c r="C323" t="str">
        <f>_xlfn.XLOOKUP(B323,product!$A$2:$A$20,product!$B$2:$B$20)</f>
        <v>Cooling Pad</v>
      </c>
      <c r="D323" t="str">
        <f>_xlfn.XLOOKUP(C323,product!$B$2:$B$20,product!$C$2:$C$20)</f>
        <v>Laptop Accessories</v>
      </c>
      <c r="E323">
        <v>102</v>
      </c>
      <c r="F323">
        <v>2682</v>
      </c>
      <c r="G323">
        <v>273564</v>
      </c>
      <c r="H323" s="12">
        <v>44883</v>
      </c>
      <c r="I323" t="s">
        <v>258</v>
      </c>
      <c r="J323" t="s">
        <v>241</v>
      </c>
      <c r="K323" t="s">
        <v>239</v>
      </c>
      <c r="L323" t="s">
        <v>251</v>
      </c>
    </row>
    <row r="324" spans="1:12">
      <c r="A324">
        <v>349</v>
      </c>
      <c r="B324" t="s">
        <v>201</v>
      </c>
      <c r="C324" t="str">
        <f>_xlfn.XLOOKUP(B324,product!$A$2:$A$20,product!$B$2:$B$20)</f>
        <v>Webcam</v>
      </c>
      <c r="D324" t="str">
        <f>_xlfn.XLOOKUP(C324,product!$B$2:$B$20,product!$C$2:$C$20)</f>
        <v>Peripherals</v>
      </c>
      <c r="E324">
        <v>154</v>
      </c>
      <c r="F324">
        <v>2784</v>
      </c>
      <c r="G324">
        <v>428736</v>
      </c>
      <c r="H324" s="12">
        <v>44884</v>
      </c>
      <c r="I324" t="s">
        <v>260</v>
      </c>
      <c r="J324" t="s">
        <v>234</v>
      </c>
      <c r="K324" t="s">
        <v>239</v>
      </c>
      <c r="L324" t="s">
        <v>252</v>
      </c>
    </row>
    <row r="325" spans="1:12">
      <c r="A325">
        <v>334</v>
      </c>
      <c r="B325" t="s">
        <v>215</v>
      </c>
      <c r="C325" t="str">
        <f>_xlfn.XLOOKUP(B325,product!$A$2:$A$20,product!$B$2:$B$20)</f>
        <v>Speakers</v>
      </c>
      <c r="D325" t="str">
        <f>_xlfn.XLOOKUP(C325,product!$B$2:$B$20,product!$C$2:$C$20)</f>
        <v>Audio</v>
      </c>
      <c r="E325">
        <v>195</v>
      </c>
      <c r="F325">
        <v>3819</v>
      </c>
      <c r="G325">
        <v>744705</v>
      </c>
      <c r="H325" s="12">
        <v>44885</v>
      </c>
      <c r="I325" t="s">
        <v>233</v>
      </c>
      <c r="J325" t="s">
        <v>241</v>
      </c>
      <c r="K325" t="s">
        <v>239</v>
      </c>
      <c r="L325" t="s">
        <v>253</v>
      </c>
    </row>
    <row r="326" spans="1:12">
      <c r="A326">
        <v>351</v>
      </c>
      <c r="B326" t="s">
        <v>208</v>
      </c>
      <c r="C326" t="str">
        <f>_xlfn.XLOOKUP(B326,product!$A$2:$A$20,product!$B$2:$B$20)</f>
        <v>Headset</v>
      </c>
      <c r="D326" t="str">
        <f>_xlfn.XLOOKUP(C326,product!$B$2:$B$20,product!$C$2:$C$20)</f>
        <v>Audio</v>
      </c>
      <c r="E326">
        <v>155</v>
      </c>
      <c r="F326">
        <v>3278</v>
      </c>
      <c r="G326">
        <v>508090</v>
      </c>
      <c r="H326" s="12">
        <v>44886</v>
      </c>
      <c r="I326" t="s">
        <v>237</v>
      </c>
      <c r="J326" t="s">
        <v>234</v>
      </c>
      <c r="K326" t="s">
        <v>235</v>
      </c>
      <c r="L326" t="s">
        <v>255</v>
      </c>
    </row>
    <row r="327" spans="1:12">
      <c r="A327">
        <v>443</v>
      </c>
      <c r="B327" t="s">
        <v>194</v>
      </c>
      <c r="C327" t="str">
        <f>_xlfn.XLOOKUP(B327,product!$A$2:$A$20,product!$B$2:$B$20)</f>
        <v>RAM Module</v>
      </c>
      <c r="D327" t="str">
        <f>_xlfn.XLOOKUP(C327,product!$B$2:$B$20,product!$C$2:$C$20)</f>
        <v>Internal Hardware</v>
      </c>
      <c r="E327">
        <v>285</v>
      </c>
      <c r="F327">
        <v>2531</v>
      </c>
      <c r="G327">
        <v>721335</v>
      </c>
      <c r="H327" s="12">
        <v>44887</v>
      </c>
      <c r="I327" t="s">
        <v>90</v>
      </c>
      <c r="J327" t="s">
        <v>234</v>
      </c>
      <c r="K327" t="s">
        <v>235</v>
      </c>
      <c r="L327" t="s">
        <v>257</v>
      </c>
    </row>
    <row r="328" spans="1:12">
      <c r="A328">
        <v>334</v>
      </c>
      <c r="B328" t="s">
        <v>196</v>
      </c>
      <c r="C328" t="str">
        <f>_xlfn.XLOOKUP(B328,product!$A$2:$A$20,product!$B$2:$B$20)</f>
        <v>SSD</v>
      </c>
      <c r="D328" t="str">
        <f>_xlfn.XLOOKUP(C328,product!$B$2:$B$20,product!$C$2:$C$20)</f>
        <v>Internal Hardware</v>
      </c>
      <c r="E328">
        <v>151</v>
      </c>
      <c r="F328">
        <v>4888</v>
      </c>
      <c r="G328">
        <v>738088</v>
      </c>
      <c r="H328" s="12">
        <v>44888</v>
      </c>
      <c r="I328" t="s">
        <v>243</v>
      </c>
      <c r="J328" t="s">
        <v>234</v>
      </c>
      <c r="K328" t="s">
        <v>248</v>
      </c>
      <c r="L328" t="s">
        <v>259</v>
      </c>
    </row>
    <row r="329" spans="1:12">
      <c r="A329">
        <v>435</v>
      </c>
      <c r="B329" t="s">
        <v>220</v>
      </c>
      <c r="C329" t="str">
        <f>_xlfn.XLOOKUP(B329,product!$A$2:$A$20,product!$B$2:$B$20)</f>
        <v>Ethernet Cable</v>
      </c>
      <c r="D329" t="str">
        <f>_xlfn.XLOOKUP(C329,product!$B$2:$B$20,product!$C$2:$C$20)</f>
        <v>Cables &amp; Connectors</v>
      </c>
      <c r="E329">
        <v>149</v>
      </c>
      <c r="F329">
        <v>4012</v>
      </c>
      <c r="G329">
        <v>597788</v>
      </c>
      <c r="H329" s="12">
        <v>44889</v>
      </c>
      <c r="I329" t="s">
        <v>245</v>
      </c>
      <c r="J329" t="s">
        <v>241</v>
      </c>
      <c r="K329" t="s">
        <v>235</v>
      </c>
      <c r="L329" t="s">
        <v>261</v>
      </c>
    </row>
    <row r="330" spans="1:12">
      <c r="A330">
        <v>460</v>
      </c>
      <c r="B330" t="s">
        <v>208</v>
      </c>
      <c r="C330" t="str">
        <f>_xlfn.XLOOKUP(B330,product!$A$2:$A$20,product!$B$2:$B$20)</f>
        <v>Headset</v>
      </c>
      <c r="D330" t="str">
        <f>_xlfn.XLOOKUP(C330,product!$B$2:$B$20,product!$C$2:$C$20)</f>
        <v>Audio</v>
      </c>
      <c r="E330">
        <v>283</v>
      </c>
      <c r="F330">
        <v>3740</v>
      </c>
      <c r="G330">
        <v>1058420</v>
      </c>
      <c r="H330" s="12">
        <v>44890</v>
      </c>
      <c r="I330" t="s">
        <v>247</v>
      </c>
      <c r="J330" t="s">
        <v>234</v>
      </c>
      <c r="K330" t="s">
        <v>239</v>
      </c>
      <c r="L330" t="s">
        <v>262</v>
      </c>
    </row>
    <row r="331" spans="1:12">
      <c r="A331">
        <v>457</v>
      </c>
      <c r="B331" t="s">
        <v>211</v>
      </c>
      <c r="C331" t="str">
        <f>_xlfn.XLOOKUP(B331,product!$A$2:$A$20,product!$B$2:$B$20)</f>
        <v>Printer</v>
      </c>
      <c r="D331" t="str">
        <f>_xlfn.XLOOKUP(C331,product!$B$2:$B$20,product!$C$2:$C$20)</f>
        <v>Peripherals</v>
      </c>
      <c r="E331">
        <v>111</v>
      </c>
      <c r="F331">
        <v>3662</v>
      </c>
      <c r="G331">
        <v>406482</v>
      </c>
      <c r="H331" s="12">
        <v>44891</v>
      </c>
      <c r="I331" t="s">
        <v>250</v>
      </c>
      <c r="J331" t="s">
        <v>238</v>
      </c>
      <c r="K331" t="s">
        <v>235</v>
      </c>
      <c r="L331" t="s">
        <v>263</v>
      </c>
    </row>
    <row r="332" spans="1:12">
      <c r="A332">
        <v>482</v>
      </c>
      <c r="B332" t="s">
        <v>220</v>
      </c>
      <c r="C332" t="str">
        <f>_xlfn.XLOOKUP(B332,product!$A$2:$A$20,product!$B$2:$B$20)</f>
        <v>Ethernet Cable</v>
      </c>
      <c r="D332" t="str">
        <f>_xlfn.XLOOKUP(C332,product!$B$2:$B$20,product!$C$2:$C$20)</f>
        <v>Cables &amp; Connectors</v>
      </c>
      <c r="E332">
        <v>134</v>
      </c>
      <c r="F332">
        <v>2587</v>
      </c>
      <c r="G332">
        <v>346658</v>
      </c>
      <c r="H332" s="12">
        <v>44892</v>
      </c>
      <c r="I332" t="s">
        <v>64</v>
      </c>
      <c r="J332" t="s">
        <v>241</v>
      </c>
      <c r="K332" t="s">
        <v>248</v>
      </c>
      <c r="L332" t="s">
        <v>236</v>
      </c>
    </row>
    <row r="333" spans="1:12">
      <c r="A333">
        <v>326</v>
      </c>
      <c r="B333" t="s">
        <v>198</v>
      </c>
      <c r="C333" t="str">
        <f>_xlfn.XLOOKUP(B333,product!$A$2:$A$20,product!$B$2:$B$20)</f>
        <v>HDMI Cable</v>
      </c>
      <c r="D333" t="str">
        <f>_xlfn.XLOOKUP(C333,product!$B$2:$B$20,product!$C$2:$C$20)</f>
        <v>Cables &amp; Connectors</v>
      </c>
      <c r="E333">
        <v>286</v>
      </c>
      <c r="F333">
        <v>2286</v>
      </c>
      <c r="G333">
        <v>653796</v>
      </c>
      <c r="H333" s="12">
        <v>44893</v>
      </c>
      <c r="I333" t="s">
        <v>245</v>
      </c>
      <c r="J333" t="s">
        <v>241</v>
      </c>
      <c r="K333" t="s">
        <v>239</v>
      </c>
      <c r="L333" t="s">
        <v>240</v>
      </c>
    </row>
    <row r="334" spans="1:12">
      <c r="A334">
        <v>202</v>
      </c>
      <c r="B334" t="s">
        <v>184</v>
      </c>
      <c r="C334" t="str">
        <f>_xlfn.XLOOKUP(B334,product!$A$2:$A$20,product!$B$2:$B$20)</f>
        <v>Hard Drive</v>
      </c>
      <c r="D334" t="str">
        <f>_xlfn.XLOOKUP(C334,product!$B$2:$B$20,product!$C$2:$C$20)</f>
        <v>Storage</v>
      </c>
      <c r="E334">
        <v>196</v>
      </c>
      <c r="F334">
        <v>3320</v>
      </c>
      <c r="G334">
        <v>650720</v>
      </c>
      <c r="H334" s="12">
        <v>44894</v>
      </c>
      <c r="I334" t="s">
        <v>247</v>
      </c>
      <c r="J334" t="s">
        <v>238</v>
      </c>
      <c r="K334" t="s">
        <v>248</v>
      </c>
      <c r="L334" t="s">
        <v>242</v>
      </c>
    </row>
    <row r="335" spans="1:12">
      <c r="A335">
        <v>243</v>
      </c>
      <c r="B335" t="s">
        <v>189</v>
      </c>
      <c r="C335" t="str">
        <f>_xlfn.XLOOKUP(B335,product!$A$2:$A$20,product!$B$2:$B$20)</f>
        <v>Monitor</v>
      </c>
      <c r="D335" t="str">
        <f>_xlfn.XLOOKUP(C335,product!$B$2:$B$20,product!$C$2:$C$20)</f>
        <v>Display</v>
      </c>
      <c r="E335">
        <v>146</v>
      </c>
      <c r="F335">
        <v>2641</v>
      </c>
      <c r="G335">
        <v>385586</v>
      </c>
      <c r="H335" s="12">
        <v>44895</v>
      </c>
      <c r="I335" t="s">
        <v>250</v>
      </c>
      <c r="J335" t="s">
        <v>234</v>
      </c>
      <c r="K335" t="s">
        <v>239</v>
      </c>
      <c r="L335" t="s">
        <v>244</v>
      </c>
    </row>
    <row r="336" spans="1:12">
      <c r="A336">
        <v>272</v>
      </c>
      <c r="B336" t="s">
        <v>194</v>
      </c>
      <c r="C336" t="str">
        <f>_xlfn.XLOOKUP(B336,product!$A$2:$A$20,product!$B$2:$B$20)</f>
        <v>RAM Module</v>
      </c>
      <c r="D336" t="str">
        <f>_xlfn.XLOOKUP(C336,product!$B$2:$B$20,product!$C$2:$C$20)</f>
        <v>Internal Hardware</v>
      </c>
      <c r="E336">
        <v>155</v>
      </c>
      <c r="F336">
        <v>3026</v>
      </c>
      <c r="G336">
        <v>469030</v>
      </c>
      <c r="H336" s="12">
        <v>44896</v>
      </c>
      <c r="I336" t="s">
        <v>64</v>
      </c>
      <c r="J336" t="s">
        <v>241</v>
      </c>
      <c r="K336" t="s">
        <v>239</v>
      </c>
      <c r="L336" t="s">
        <v>246</v>
      </c>
    </row>
    <row r="337" spans="1:12">
      <c r="A337">
        <v>448</v>
      </c>
      <c r="B337" t="s">
        <v>211</v>
      </c>
      <c r="C337" t="str">
        <f>_xlfn.XLOOKUP(B337,product!$A$2:$A$20,product!$B$2:$B$20)</f>
        <v>Printer</v>
      </c>
      <c r="D337" t="str">
        <f>_xlfn.XLOOKUP(C337,product!$B$2:$B$20,product!$C$2:$C$20)</f>
        <v>Peripherals</v>
      </c>
      <c r="E337">
        <v>111</v>
      </c>
      <c r="F337">
        <v>2389</v>
      </c>
      <c r="G337">
        <v>265179</v>
      </c>
      <c r="H337" s="12">
        <v>44897</v>
      </c>
      <c r="I337" t="s">
        <v>59</v>
      </c>
      <c r="J337" t="s">
        <v>241</v>
      </c>
      <c r="K337" t="s">
        <v>248</v>
      </c>
      <c r="L337" t="s">
        <v>249</v>
      </c>
    </row>
    <row r="338" spans="1:12">
      <c r="A338">
        <v>374</v>
      </c>
      <c r="B338" t="s">
        <v>194</v>
      </c>
      <c r="C338" t="str">
        <f>_xlfn.XLOOKUP(B338,product!$A$2:$A$20,product!$B$2:$B$20)</f>
        <v>RAM Module</v>
      </c>
      <c r="D338" t="str">
        <f>_xlfn.XLOOKUP(C338,product!$B$2:$B$20,product!$C$2:$C$20)</f>
        <v>Internal Hardware</v>
      </c>
      <c r="E338">
        <v>285</v>
      </c>
      <c r="F338">
        <v>2453</v>
      </c>
      <c r="G338">
        <v>699105</v>
      </c>
      <c r="H338" s="12">
        <v>44898</v>
      </c>
      <c r="I338" t="s">
        <v>254</v>
      </c>
      <c r="J338" t="s">
        <v>234</v>
      </c>
      <c r="K338" t="s">
        <v>248</v>
      </c>
      <c r="L338" t="s">
        <v>251</v>
      </c>
    </row>
    <row r="339" spans="1:12">
      <c r="A339">
        <v>456</v>
      </c>
      <c r="B339" t="s">
        <v>206</v>
      </c>
      <c r="C339" t="str">
        <f>_xlfn.XLOOKUP(B339,product!$A$2:$A$20,product!$B$2:$B$20)</f>
        <v>Cooling Pad</v>
      </c>
      <c r="D339" t="str">
        <f>_xlfn.XLOOKUP(C339,product!$B$2:$B$20,product!$C$2:$C$20)</f>
        <v>Laptop Accessories</v>
      </c>
      <c r="E339">
        <v>186</v>
      </c>
      <c r="F339">
        <v>3460</v>
      </c>
      <c r="G339">
        <v>643560</v>
      </c>
      <c r="H339" s="12">
        <v>44899</v>
      </c>
      <c r="I339" t="s">
        <v>256</v>
      </c>
      <c r="J339" t="s">
        <v>234</v>
      </c>
      <c r="K339" t="s">
        <v>235</v>
      </c>
      <c r="L339" t="s">
        <v>252</v>
      </c>
    </row>
    <row r="340" spans="1:12">
      <c r="A340">
        <v>403</v>
      </c>
      <c r="B340" t="s">
        <v>187</v>
      </c>
      <c r="C340" t="str">
        <f>_xlfn.XLOOKUP(B340,product!$A$2:$A$20,product!$B$2:$B$20)</f>
        <v>USB Flash Drive</v>
      </c>
      <c r="D340" t="str">
        <f>_xlfn.XLOOKUP(C340,product!$B$2:$B$20,product!$C$2:$C$20)</f>
        <v>Storage</v>
      </c>
      <c r="E340">
        <v>300</v>
      </c>
      <c r="F340">
        <v>2430</v>
      </c>
      <c r="G340">
        <v>729000</v>
      </c>
      <c r="H340" s="12">
        <v>44900</v>
      </c>
      <c r="I340" t="s">
        <v>258</v>
      </c>
      <c r="J340" t="s">
        <v>234</v>
      </c>
      <c r="K340" t="s">
        <v>248</v>
      </c>
      <c r="L340" t="s">
        <v>253</v>
      </c>
    </row>
    <row r="341" spans="1:12">
      <c r="A341">
        <v>394</v>
      </c>
      <c r="B341" t="s">
        <v>213</v>
      </c>
      <c r="C341" t="str">
        <f>_xlfn.XLOOKUP(B341,product!$A$2:$A$20,product!$B$2:$B$20)</f>
        <v>Scanner</v>
      </c>
      <c r="D341" t="str">
        <f>_xlfn.XLOOKUP(C341,product!$B$2:$B$20,product!$C$2:$C$20)</f>
        <v>Peripherals</v>
      </c>
      <c r="E341">
        <v>151</v>
      </c>
      <c r="F341">
        <v>2731</v>
      </c>
      <c r="G341">
        <v>412381</v>
      </c>
      <c r="H341" s="12">
        <v>44901</v>
      </c>
      <c r="I341" t="s">
        <v>260</v>
      </c>
      <c r="J341" t="s">
        <v>241</v>
      </c>
      <c r="K341" t="s">
        <v>235</v>
      </c>
      <c r="L341" t="s">
        <v>255</v>
      </c>
    </row>
    <row r="342" spans="1:12">
      <c r="A342">
        <v>476</v>
      </c>
      <c r="B342" t="s">
        <v>220</v>
      </c>
      <c r="C342" t="str">
        <f>_xlfn.XLOOKUP(B342,product!$A$2:$A$20,product!$B$2:$B$20)</f>
        <v>Ethernet Cable</v>
      </c>
      <c r="D342" t="str">
        <f>_xlfn.XLOOKUP(C342,product!$B$2:$B$20,product!$C$2:$C$20)</f>
        <v>Cables &amp; Connectors</v>
      </c>
      <c r="E342">
        <v>100</v>
      </c>
      <c r="F342">
        <v>4486</v>
      </c>
      <c r="G342">
        <v>448600</v>
      </c>
      <c r="H342" s="12">
        <v>44902</v>
      </c>
      <c r="I342" t="s">
        <v>233</v>
      </c>
      <c r="J342" t="s">
        <v>234</v>
      </c>
      <c r="K342" t="s">
        <v>239</v>
      </c>
      <c r="L342" t="s">
        <v>257</v>
      </c>
    </row>
    <row r="343" spans="1:12">
      <c r="A343">
        <v>234</v>
      </c>
      <c r="B343" t="s">
        <v>201</v>
      </c>
      <c r="C343" t="str">
        <f>_xlfn.XLOOKUP(B343,product!$A$2:$A$20,product!$B$2:$B$20)</f>
        <v>Webcam</v>
      </c>
      <c r="D343" t="str">
        <f>_xlfn.XLOOKUP(C343,product!$B$2:$B$20,product!$C$2:$C$20)</f>
        <v>Peripherals</v>
      </c>
      <c r="E343">
        <v>215</v>
      </c>
      <c r="F343">
        <v>3078</v>
      </c>
      <c r="G343">
        <v>661770</v>
      </c>
      <c r="H343" s="12">
        <v>44903</v>
      </c>
      <c r="I343" t="s">
        <v>237</v>
      </c>
      <c r="J343" t="s">
        <v>241</v>
      </c>
      <c r="K343" t="s">
        <v>248</v>
      </c>
      <c r="L343" t="s">
        <v>259</v>
      </c>
    </row>
    <row r="344" spans="1:12">
      <c r="A344">
        <v>290</v>
      </c>
      <c r="B344" t="s">
        <v>187</v>
      </c>
      <c r="C344" t="str">
        <f>_xlfn.XLOOKUP(B344,product!$A$2:$A$20,product!$B$2:$B$20)</f>
        <v>USB Flash Drive</v>
      </c>
      <c r="D344" t="str">
        <f>_xlfn.XLOOKUP(C344,product!$B$2:$B$20,product!$C$2:$C$20)</f>
        <v>Storage</v>
      </c>
      <c r="E344">
        <v>193</v>
      </c>
      <c r="F344">
        <v>4620</v>
      </c>
      <c r="G344">
        <v>891660</v>
      </c>
      <c r="H344" s="12">
        <v>44904</v>
      </c>
      <c r="I344" t="s">
        <v>90</v>
      </c>
      <c r="J344" t="s">
        <v>238</v>
      </c>
      <c r="K344" t="s">
        <v>248</v>
      </c>
      <c r="L344" t="s">
        <v>261</v>
      </c>
    </row>
    <row r="345" spans="1:12">
      <c r="A345">
        <v>294</v>
      </c>
      <c r="B345" t="s">
        <v>203</v>
      </c>
      <c r="C345" t="str">
        <f>_xlfn.XLOOKUP(B345,product!$A$2:$A$20,product!$B$2:$B$20)</f>
        <v>Laptop Stand</v>
      </c>
      <c r="D345" t="str">
        <f>_xlfn.XLOOKUP(C345,product!$B$2:$B$20,product!$C$2:$C$20)</f>
        <v>Laptop Accessories</v>
      </c>
      <c r="E345">
        <v>257</v>
      </c>
      <c r="F345">
        <v>2472</v>
      </c>
      <c r="G345">
        <v>635304</v>
      </c>
      <c r="H345" s="12">
        <v>44905</v>
      </c>
      <c r="I345" t="s">
        <v>243</v>
      </c>
      <c r="J345" t="s">
        <v>234</v>
      </c>
      <c r="K345" t="s">
        <v>239</v>
      </c>
      <c r="L345" t="s">
        <v>262</v>
      </c>
    </row>
    <row r="346" spans="1:12">
      <c r="A346">
        <v>284</v>
      </c>
      <c r="B346" t="s">
        <v>189</v>
      </c>
      <c r="C346" t="str">
        <f>_xlfn.XLOOKUP(B346,product!$A$2:$A$20,product!$B$2:$B$20)</f>
        <v>Monitor</v>
      </c>
      <c r="D346" t="str">
        <f>_xlfn.XLOOKUP(C346,product!$B$2:$B$20,product!$C$2:$C$20)</f>
        <v>Display</v>
      </c>
      <c r="E346">
        <v>249</v>
      </c>
      <c r="F346">
        <v>4958</v>
      </c>
      <c r="G346">
        <v>1234542</v>
      </c>
      <c r="H346" s="12">
        <v>44906</v>
      </c>
      <c r="I346" t="s">
        <v>245</v>
      </c>
      <c r="J346" t="s">
        <v>238</v>
      </c>
      <c r="K346" t="s">
        <v>239</v>
      </c>
      <c r="L346" t="s">
        <v>263</v>
      </c>
    </row>
    <row r="347" spans="1:12">
      <c r="A347">
        <v>422</v>
      </c>
      <c r="B347" t="s">
        <v>194</v>
      </c>
      <c r="C347" t="str">
        <f>_xlfn.XLOOKUP(B347,product!$A$2:$A$20,product!$B$2:$B$20)</f>
        <v>RAM Module</v>
      </c>
      <c r="D347" t="str">
        <f>_xlfn.XLOOKUP(C347,product!$B$2:$B$20,product!$C$2:$C$20)</f>
        <v>Internal Hardware</v>
      </c>
      <c r="E347">
        <v>192</v>
      </c>
      <c r="F347">
        <v>4492</v>
      </c>
      <c r="G347">
        <v>862464</v>
      </c>
      <c r="H347" s="12">
        <v>44907</v>
      </c>
      <c r="I347" t="s">
        <v>247</v>
      </c>
      <c r="J347" t="s">
        <v>241</v>
      </c>
      <c r="K347" t="s">
        <v>248</v>
      </c>
      <c r="L347" t="s">
        <v>236</v>
      </c>
    </row>
    <row r="348" spans="1:12">
      <c r="A348">
        <v>308</v>
      </c>
      <c r="B348" t="s">
        <v>220</v>
      </c>
      <c r="C348" t="str">
        <f>_xlfn.XLOOKUP(B348,product!$A$2:$A$20,product!$B$2:$B$20)</f>
        <v>Ethernet Cable</v>
      </c>
      <c r="D348" t="str">
        <f>_xlfn.XLOOKUP(C348,product!$B$2:$B$20,product!$C$2:$C$20)</f>
        <v>Cables &amp; Connectors</v>
      </c>
      <c r="E348">
        <v>223</v>
      </c>
      <c r="F348">
        <v>4576</v>
      </c>
      <c r="G348">
        <v>1020448</v>
      </c>
      <c r="H348" s="12">
        <v>44908</v>
      </c>
      <c r="I348" t="s">
        <v>250</v>
      </c>
      <c r="J348" t="s">
        <v>234</v>
      </c>
      <c r="K348" t="s">
        <v>248</v>
      </c>
      <c r="L348" t="s">
        <v>240</v>
      </c>
    </row>
    <row r="349" spans="1:12">
      <c r="A349">
        <v>326</v>
      </c>
      <c r="B349" t="s">
        <v>217</v>
      </c>
      <c r="C349" t="str">
        <f>_xlfn.XLOOKUP(B349,product!$A$2:$A$20,product!$B$2:$B$20)</f>
        <v>Wireless Router</v>
      </c>
      <c r="D349" t="str">
        <f>_xlfn.XLOOKUP(C349,product!$B$2:$B$20,product!$C$2:$C$20)</f>
        <v>Network</v>
      </c>
      <c r="E349">
        <v>262</v>
      </c>
      <c r="F349">
        <v>2318</v>
      </c>
      <c r="G349">
        <v>607316</v>
      </c>
      <c r="H349" s="12">
        <v>44909</v>
      </c>
      <c r="I349" t="s">
        <v>64</v>
      </c>
      <c r="J349" t="s">
        <v>241</v>
      </c>
      <c r="K349" t="s">
        <v>239</v>
      </c>
      <c r="L349" t="s">
        <v>242</v>
      </c>
    </row>
    <row r="350" spans="1:12">
      <c r="A350">
        <v>275</v>
      </c>
      <c r="B350" t="s">
        <v>217</v>
      </c>
      <c r="C350" t="str">
        <f>_xlfn.XLOOKUP(B350,product!$A$2:$A$20,product!$B$2:$B$20)</f>
        <v>Wireless Router</v>
      </c>
      <c r="D350" t="str">
        <f>_xlfn.XLOOKUP(C350,product!$B$2:$B$20,product!$C$2:$C$20)</f>
        <v>Network</v>
      </c>
      <c r="E350">
        <v>272</v>
      </c>
      <c r="F350">
        <v>2368</v>
      </c>
      <c r="G350">
        <v>644096</v>
      </c>
      <c r="H350" s="12">
        <v>44910</v>
      </c>
      <c r="I350" t="s">
        <v>254</v>
      </c>
      <c r="J350" t="s">
        <v>241</v>
      </c>
      <c r="K350" t="s">
        <v>235</v>
      </c>
      <c r="L350" t="s">
        <v>244</v>
      </c>
    </row>
    <row r="351" spans="1:12">
      <c r="A351">
        <v>426</v>
      </c>
      <c r="B351" t="s">
        <v>208</v>
      </c>
      <c r="C351" t="str">
        <f>_xlfn.XLOOKUP(B351,product!$A$2:$A$20,product!$B$2:$B$20)</f>
        <v>Headset</v>
      </c>
      <c r="D351" t="str">
        <f>_xlfn.XLOOKUP(C351,product!$B$2:$B$20,product!$C$2:$C$20)</f>
        <v>Audio</v>
      </c>
      <c r="E351">
        <v>168</v>
      </c>
      <c r="F351">
        <v>4227</v>
      </c>
      <c r="G351">
        <v>710136</v>
      </c>
      <c r="H351" s="12">
        <v>44911</v>
      </c>
      <c r="I351" t="s">
        <v>256</v>
      </c>
      <c r="J351" t="s">
        <v>238</v>
      </c>
      <c r="K351" t="s">
        <v>239</v>
      </c>
      <c r="L351" t="s">
        <v>246</v>
      </c>
    </row>
    <row r="352" spans="1:12">
      <c r="A352">
        <v>362</v>
      </c>
      <c r="B352" t="s">
        <v>198</v>
      </c>
      <c r="C352" t="str">
        <f>_xlfn.XLOOKUP(B352,product!$A$2:$A$20,product!$B$2:$B$20)</f>
        <v>HDMI Cable</v>
      </c>
      <c r="D352" t="str">
        <f>_xlfn.XLOOKUP(C352,product!$B$2:$B$20,product!$C$2:$C$20)</f>
        <v>Cables &amp; Connectors</v>
      </c>
      <c r="E352">
        <v>178</v>
      </c>
      <c r="F352">
        <v>4812</v>
      </c>
      <c r="G352">
        <v>856536</v>
      </c>
      <c r="H352" s="12">
        <v>44912</v>
      </c>
      <c r="I352" t="s">
        <v>258</v>
      </c>
      <c r="J352" t="s">
        <v>241</v>
      </c>
      <c r="K352" t="s">
        <v>239</v>
      </c>
      <c r="L352" t="s">
        <v>249</v>
      </c>
    </row>
    <row r="353" spans="1:12">
      <c r="A353">
        <v>236</v>
      </c>
      <c r="B353" t="s">
        <v>217</v>
      </c>
      <c r="C353" t="str">
        <f>_xlfn.XLOOKUP(B353,product!$A$2:$A$20,product!$B$2:$B$20)</f>
        <v>Wireless Router</v>
      </c>
      <c r="D353" t="str">
        <f>_xlfn.XLOOKUP(C353,product!$B$2:$B$20,product!$C$2:$C$20)</f>
        <v>Network</v>
      </c>
      <c r="E353">
        <v>230</v>
      </c>
      <c r="F353">
        <v>4271</v>
      </c>
      <c r="G353">
        <v>982330</v>
      </c>
      <c r="H353" s="12">
        <v>44913</v>
      </c>
      <c r="I353" t="s">
        <v>260</v>
      </c>
      <c r="J353" t="s">
        <v>241</v>
      </c>
      <c r="K353" t="s">
        <v>239</v>
      </c>
      <c r="L353" t="s">
        <v>251</v>
      </c>
    </row>
    <row r="354" spans="1:12">
      <c r="A354">
        <v>311</v>
      </c>
      <c r="B354" t="s">
        <v>203</v>
      </c>
      <c r="C354" t="str">
        <f>_xlfn.XLOOKUP(B354,product!$A$2:$A$20,product!$B$2:$B$20)</f>
        <v>Laptop Stand</v>
      </c>
      <c r="D354" t="str">
        <f>_xlfn.XLOOKUP(C354,product!$B$2:$B$20,product!$C$2:$C$20)</f>
        <v>Laptop Accessories</v>
      </c>
      <c r="E354">
        <v>192</v>
      </c>
      <c r="F354">
        <v>3083</v>
      </c>
      <c r="G354">
        <v>591936</v>
      </c>
      <c r="H354" s="12">
        <v>44914</v>
      </c>
      <c r="I354" t="s">
        <v>233</v>
      </c>
      <c r="J354" t="s">
        <v>238</v>
      </c>
      <c r="K354" t="s">
        <v>248</v>
      </c>
      <c r="L354" t="s">
        <v>252</v>
      </c>
    </row>
    <row r="355" spans="1:12">
      <c r="A355">
        <v>402</v>
      </c>
      <c r="B355" t="s">
        <v>208</v>
      </c>
      <c r="C355" t="str">
        <f>_xlfn.XLOOKUP(B355,product!$A$2:$A$20,product!$B$2:$B$20)</f>
        <v>Headset</v>
      </c>
      <c r="D355" t="str">
        <f>_xlfn.XLOOKUP(C355,product!$B$2:$B$20,product!$C$2:$C$20)</f>
        <v>Audio</v>
      </c>
      <c r="E355">
        <v>208</v>
      </c>
      <c r="F355">
        <v>4160</v>
      </c>
      <c r="G355">
        <v>865280</v>
      </c>
      <c r="H355" s="12">
        <v>44915</v>
      </c>
      <c r="I355" t="s">
        <v>237</v>
      </c>
      <c r="J355" t="s">
        <v>234</v>
      </c>
      <c r="K355" t="s">
        <v>239</v>
      </c>
      <c r="L355" t="s">
        <v>253</v>
      </c>
    </row>
    <row r="356" spans="1:12">
      <c r="A356">
        <v>399</v>
      </c>
      <c r="B356" t="s">
        <v>198</v>
      </c>
      <c r="C356" t="str">
        <f>_xlfn.XLOOKUP(B356,product!$A$2:$A$20,product!$B$2:$B$20)</f>
        <v>HDMI Cable</v>
      </c>
      <c r="D356" t="str">
        <f>_xlfn.XLOOKUP(C356,product!$B$2:$B$20,product!$C$2:$C$20)</f>
        <v>Cables &amp; Connectors</v>
      </c>
      <c r="E356">
        <v>128</v>
      </c>
      <c r="F356">
        <v>3342</v>
      </c>
      <c r="G356">
        <v>427776</v>
      </c>
      <c r="H356" s="12">
        <v>44916</v>
      </c>
      <c r="I356" t="s">
        <v>90</v>
      </c>
      <c r="J356" t="s">
        <v>238</v>
      </c>
      <c r="K356" t="s">
        <v>235</v>
      </c>
      <c r="L356" t="s">
        <v>255</v>
      </c>
    </row>
    <row r="357" spans="1:12">
      <c r="A357">
        <v>408</v>
      </c>
      <c r="B357" t="s">
        <v>184</v>
      </c>
      <c r="C357" t="str">
        <f>_xlfn.XLOOKUP(B357,product!$A$2:$A$20,product!$B$2:$B$20)</f>
        <v>Hard Drive</v>
      </c>
      <c r="D357" t="str">
        <f>_xlfn.XLOOKUP(C357,product!$B$2:$B$20,product!$C$2:$C$20)</f>
        <v>Storage</v>
      </c>
      <c r="E357">
        <v>250</v>
      </c>
      <c r="F357">
        <v>3186</v>
      </c>
      <c r="G357">
        <v>796500</v>
      </c>
      <c r="H357" s="12">
        <v>44917</v>
      </c>
      <c r="I357" t="s">
        <v>243</v>
      </c>
      <c r="J357" t="s">
        <v>234</v>
      </c>
      <c r="K357" t="s">
        <v>248</v>
      </c>
      <c r="L357" t="s">
        <v>257</v>
      </c>
    </row>
    <row r="358" spans="1:12">
      <c r="A358">
        <v>278</v>
      </c>
      <c r="B358" t="s">
        <v>208</v>
      </c>
      <c r="C358" t="str">
        <f>_xlfn.XLOOKUP(B358,product!$A$2:$A$20,product!$B$2:$B$20)</f>
        <v>Headset</v>
      </c>
      <c r="D358" t="str">
        <f>_xlfn.XLOOKUP(C358,product!$B$2:$B$20,product!$C$2:$C$20)</f>
        <v>Audio</v>
      </c>
      <c r="E358">
        <v>204</v>
      </c>
      <c r="F358">
        <v>4200</v>
      </c>
      <c r="G358">
        <v>856800</v>
      </c>
      <c r="H358" s="12">
        <v>44918</v>
      </c>
      <c r="I358" t="s">
        <v>245</v>
      </c>
      <c r="J358" t="s">
        <v>234</v>
      </c>
      <c r="K358" t="s">
        <v>239</v>
      </c>
      <c r="L358" t="s">
        <v>259</v>
      </c>
    </row>
    <row r="359" spans="1:12">
      <c r="A359">
        <v>225</v>
      </c>
      <c r="B359" t="s">
        <v>189</v>
      </c>
      <c r="C359" t="str">
        <f>_xlfn.XLOOKUP(B359,product!$A$2:$A$20,product!$B$2:$B$20)</f>
        <v>Monitor</v>
      </c>
      <c r="D359" t="str">
        <f>_xlfn.XLOOKUP(C359,product!$B$2:$B$20,product!$C$2:$C$20)</f>
        <v>Display</v>
      </c>
      <c r="E359">
        <v>198</v>
      </c>
      <c r="F359">
        <v>2528</v>
      </c>
      <c r="G359">
        <v>500544</v>
      </c>
      <c r="H359" s="12">
        <v>44919</v>
      </c>
      <c r="I359" t="s">
        <v>247</v>
      </c>
      <c r="J359" t="s">
        <v>241</v>
      </c>
      <c r="K359" t="s">
        <v>239</v>
      </c>
      <c r="L359" t="s">
        <v>261</v>
      </c>
    </row>
    <row r="360" spans="1:12">
      <c r="A360">
        <v>325</v>
      </c>
      <c r="B360" t="s">
        <v>191</v>
      </c>
      <c r="C360" t="str">
        <f>_xlfn.XLOOKUP(B360,product!$A$2:$A$20,product!$B$2:$B$20)</f>
        <v>Graphics Card</v>
      </c>
      <c r="D360" t="str">
        <f>_xlfn.XLOOKUP(C360,product!$B$2:$B$20,product!$C$2:$C$20)</f>
        <v>Internal Hardware</v>
      </c>
      <c r="E360">
        <v>277</v>
      </c>
      <c r="F360">
        <v>4694</v>
      </c>
      <c r="G360">
        <v>1300238</v>
      </c>
      <c r="H360" s="12">
        <v>44920</v>
      </c>
      <c r="I360" t="s">
        <v>250</v>
      </c>
      <c r="J360" t="s">
        <v>234</v>
      </c>
      <c r="K360" t="s">
        <v>248</v>
      </c>
      <c r="L360" t="s">
        <v>262</v>
      </c>
    </row>
    <row r="361" spans="1:12">
      <c r="A361">
        <v>289</v>
      </c>
      <c r="B361" t="s">
        <v>211</v>
      </c>
      <c r="C361" t="str">
        <f>_xlfn.XLOOKUP(B361,product!$A$2:$A$20,product!$B$2:$B$20)</f>
        <v>Printer</v>
      </c>
      <c r="D361" t="str">
        <f>_xlfn.XLOOKUP(C361,product!$B$2:$B$20,product!$C$2:$C$20)</f>
        <v>Peripherals</v>
      </c>
      <c r="E361">
        <v>117</v>
      </c>
      <c r="F361">
        <v>2900</v>
      </c>
      <c r="G361">
        <v>339300</v>
      </c>
      <c r="H361" s="12">
        <v>44921</v>
      </c>
      <c r="I361" t="s">
        <v>64</v>
      </c>
      <c r="J361" t="s">
        <v>238</v>
      </c>
      <c r="K361" t="s">
        <v>235</v>
      </c>
      <c r="L361" t="s">
        <v>263</v>
      </c>
    </row>
    <row r="362" spans="1:12">
      <c r="A362">
        <v>482</v>
      </c>
      <c r="B362" t="s">
        <v>194</v>
      </c>
      <c r="C362" t="str">
        <f>_xlfn.XLOOKUP(B362,product!$A$2:$A$20,product!$B$2:$B$20)</f>
        <v>RAM Module</v>
      </c>
      <c r="D362" t="str">
        <f>_xlfn.XLOOKUP(C362,product!$B$2:$B$20,product!$C$2:$C$20)</f>
        <v>Internal Hardware</v>
      </c>
      <c r="E362">
        <v>269</v>
      </c>
      <c r="F362">
        <v>2267</v>
      </c>
      <c r="G362">
        <v>609823</v>
      </c>
      <c r="H362" s="12">
        <v>44922</v>
      </c>
      <c r="I362" t="s">
        <v>90</v>
      </c>
      <c r="J362" t="s">
        <v>241</v>
      </c>
      <c r="K362" t="s">
        <v>248</v>
      </c>
      <c r="L362" t="s">
        <v>255</v>
      </c>
    </row>
    <row r="363" spans="1:12">
      <c r="A363">
        <v>423</v>
      </c>
      <c r="B363" t="s">
        <v>194</v>
      </c>
      <c r="C363" t="str">
        <f>_xlfn.XLOOKUP(B363,product!$A$2:$A$20,product!$B$2:$B$20)</f>
        <v>RAM Module</v>
      </c>
      <c r="D363" t="str">
        <f>_xlfn.XLOOKUP(C363,product!$B$2:$B$20,product!$C$2:$C$20)</f>
        <v>Internal Hardware</v>
      </c>
      <c r="E363">
        <v>176</v>
      </c>
      <c r="F363">
        <v>4524</v>
      </c>
      <c r="G363">
        <v>796224</v>
      </c>
      <c r="H363" s="12">
        <v>44923</v>
      </c>
      <c r="I363" t="s">
        <v>243</v>
      </c>
      <c r="J363" t="s">
        <v>238</v>
      </c>
      <c r="K363" t="s">
        <v>248</v>
      </c>
      <c r="L363" t="s">
        <v>257</v>
      </c>
    </row>
    <row r="364" spans="1:12">
      <c r="A364">
        <v>474</v>
      </c>
      <c r="B364" t="s">
        <v>191</v>
      </c>
      <c r="C364" t="str">
        <f>_xlfn.XLOOKUP(B364,product!$A$2:$A$20,product!$B$2:$B$20)</f>
        <v>Graphics Card</v>
      </c>
      <c r="D364" t="str">
        <f>_xlfn.XLOOKUP(C364,product!$B$2:$B$20,product!$C$2:$C$20)</f>
        <v>Internal Hardware</v>
      </c>
      <c r="E364">
        <v>103</v>
      </c>
      <c r="F364">
        <v>3546</v>
      </c>
      <c r="G364">
        <v>365238</v>
      </c>
      <c r="H364" s="12">
        <v>44924</v>
      </c>
      <c r="I364" t="s">
        <v>245</v>
      </c>
      <c r="J364" t="s">
        <v>238</v>
      </c>
      <c r="K364" t="s">
        <v>235</v>
      </c>
      <c r="L364" t="s">
        <v>259</v>
      </c>
    </row>
    <row r="365" spans="1:12">
      <c r="A365">
        <v>332</v>
      </c>
      <c r="B365" t="s">
        <v>201</v>
      </c>
      <c r="C365" t="str">
        <f>_xlfn.XLOOKUP(B365,product!$A$2:$A$20,product!$B$2:$B$20)</f>
        <v>Webcam</v>
      </c>
      <c r="D365" t="str">
        <f>_xlfn.XLOOKUP(C365,product!$B$2:$B$20,product!$C$2:$C$20)</f>
        <v>Peripherals</v>
      </c>
      <c r="E365">
        <v>287</v>
      </c>
      <c r="F365">
        <v>3379</v>
      </c>
      <c r="G365">
        <v>969773</v>
      </c>
      <c r="H365" s="12">
        <v>44925</v>
      </c>
      <c r="I365" t="s">
        <v>247</v>
      </c>
      <c r="J365" t="s">
        <v>238</v>
      </c>
      <c r="K365" t="s">
        <v>235</v>
      </c>
      <c r="L365" t="s">
        <v>261</v>
      </c>
    </row>
    <row r="366" spans="1:12">
      <c r="A366">
        <v>299</v>
      </c>
      <c r="B366" t="s">
        <v>183</v>
      </c>
      <c r="C366" t="str">
        <f>_xlfn.XLOOKUP(B366,product!$A$2:$A$20,product!$B$2:$B$20)</f>
        <v>Mouse</v>
      </c>
      <c r="D366" t="str">
        <f>_xlfn.XLOOKUP(C366,product!$B$2:$B$20,product!$C$2:$C$20)</f>
        <v>Input Device</v>
      </c>
      <c r="E366">
        <v>187</v>
      </c>
      <c r="F366">
        <v>3193</v>
      </c>
      <c r="G366">
        <v>597091</v>
      </c>
      <c r="H366" s="12">
        <v>44926</v>
      </c>
      <c r="I366" t="s">
        <v>250</v>
      </c>
      <c r="J366" t="s">
        <v>234</v>
      </c>
      <c r="K366" t="s">
        <v>239</v>
      </c>
      <c r="L36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Data Clean Excel</vt:lpstr>
      <vt:lpstr>product</vt:lpstr>
      <vt:lpstr>Sale Sheet</vt:lpstr>
      <vt:lpstr>prediction </vt:lpstr>
      <vt:lpstr>text formulas </vt:lpstr>
      <vt:lpstr>subtotal</vt:lpstr>
      <vt:lpstr>advanced filter</vt:lpstr>
      <vt:lpstr>'advanced filter'!Criteria</vt:lpstr>
      <vt:lpstr>'advanced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dinash Maliya</dc:creator>
  <cp:lastModifiedBy>dinash Maliya</cp:lastModifiedBy>
  <dcterms:created xsi:type="dcterms:W3CDTF">2026-10-18T04:57:07Z</dcterms:created>
  <dcterms:modified xsi:type="dcterms:W3CDTF">2026-10-18T08:09:16Z</dcterms:modified>
</cp:coreProperties>
</file>