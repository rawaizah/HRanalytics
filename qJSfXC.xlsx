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50_Rows" sheetId="1" state="visible" r:id="rId1"/>
    <sheet xmlns:r="http://schemas.openxmlformats.org/officeDocument/2006/relationships" name="Formula_Practice" sheetId="2" state="visible" r:id="rId2"/>
    <sheet xmlns:r="http://schemas.openxmlformats.org/officeDocument/2006/relationships" name="Lesson_Plan" sheetId="3" state="visible" r:id="rId3"/>
  </sheets>
  <definedNames>
    <definedName name="_xlnm._FilterDatabase" localSheetId="0" hidden="1">'Raw_Data_50_Rows'!$A$1:$M$51</definedName>
    <definedName name="_xlnm._FilterDatabase" localSheetId="1" hidden="1">'Formula_Practice'!$A$1:$E$26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wSalesData" displayName="RawSalesData" ref="A1:M51" headerRowCount="1">
  <autoFilter ref="A1:M51"/>
  <tableColumns count="13">
    <tableColumn id="1" name="Order_ID"/>
    <tableColumn id="2" name="First_Name"/>
    <tableColumn id="3" name="Last_Name"/>
    <tableColumn id="4" name="City"/>
    <tableColumn id="5" name="Product"/>
    <tableColumn id="6" name="Region"/>
    <tableColumn id="7" name="Email"/>
    <tableColumn id="8" name="Phone"/>
    <tableColumn id="9" name="Order_Date_Raw"/>
    <tableColumn id="10" name="Quantity"/>
    <tableColumn id="11" name="Unit_Price"/>
    <tableColumn id="12" name="Sales_Channel"/>
    <tableColumn id="13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ormulaTasks" displayName="FormulaTasks" ref="A1:E26" headerRowCount="1">
  <autoFilter ref="A1:E26"/>
  <tableColumns count="5">
    <tableColumn id="1" name="Task #"/>
    <tableColumn id="2" name="Skill"/>
    <tableColumn id="3" name="Student Task"/>
    <tableColumn id="4" name="Suggested Formula / Tool"/>
    <tableColumn id="5" name="Expected Learning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5" customWidth="1" min="8" max="8"/>
    <col width="16" customWidth="1" min="9" max="9"/>
    <col width="12" customWidth="1" min="10" max="10"/>
    <col width="12" customWidth="1" min="11" max="11"/>
    <col width="15" customWidth="1" min="12" max="12"/>
    <col width="17" customWidth="1" min="13" max="13"/>
  </cols>
  <sheetData>
    <row r="1" ht="30" customHeight="1">
      <c r="A1" s="1" t="inlineStr">
        <is>
          <t>Order_ID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Region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Order_Date_Raw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Sales_Channel</t>
        </is>
      </c>
      <c r="M1" s="1" t="inlineStr">
        <is>
          <t>Notes</t>
        </is>
      </c>
    </row>
    <row r="2">
      <c r="A2" s="2" t="inlineStr">
        <is>
          <t>ORD-1001</t>
        </is>
      </c>
      <c r="B2" s="2" t="inlineStr">
        <is>
          <t xml:space="preserve">Usman </t>
        </is>
      </c>
      <c r="C2" s="2" t="inlineStr">
        <is>
          <t>Siddiqui</t>
        </is>
      </c>
      <c r="D2" s="2" t="inlineStr">
        <is>
          <t xml:space="preserve">  Sukkur</t>
        </is>
      </c>
      <c r="E2" s="2" t="inlineStr">
        <is>
          <t>Mouse</t>
        </is>
      </c>
      <c r="F2" s="2" t="inlineStr">
        <is>
          <t>West</t>
        </is>
      </c>
      <c r="G2" s="2" t="inlineStr">
        <is>
          <t>usman36@example.com</t>
        </is>
      </c>
      <c r="H2" s="2" t="n"/>
      <c r="I2" s="2" t="inlineStr">
        <is>
          <t>01/10/2026</t>
        </is>
      </c>
      <c r="J2" s="2" t="n">
        <v>3</v>
      </c>
      <c r="K2" s="2" t="n">
        <v>7500</v>
      </c>
      <c r="L2" s="2" t="inlineStr">
        <is>
          <t>Website</t>
        </is>
      </c>
      <c r="M2" s="2" t="inlineStr">
        <is>
          <t>—</t>
        </is>
      </c>
    </row>
    <row r="3">
      <c r="A3" s="2" t="inlineStr">
        <is>
          <t>ORD-1002</t>
        </is>
      </c>
      <c r="B3" s="2" t="inlineStr">
        <is>
          <t xml:space="preserve">  ali</t>
        </is>
      </c>
      <c r="C3" s="2" t="inlineStr">
        <is>
          <t xml:space="preserve">Sheikh </t>
        </is>
      </c>
      <c r="D3" s="2" t="inlineStr">
        <is>
          <t>LAHORE</t>
        </is>
      </c>
      <c r="E3" s="2" t="inlineStr">
        <is>
          <t>Monitor</t>
        </is>
      </c>
      <c r="F3" s="2" t="inlineStr">
        <is>
          <t>East</t>
        </is>
      </c>
      <c r="G3" s="2" t="inlineStr">
        <is>
          <t>ali8@yahoo.com</t>
        </is>
      </c>
      <c r="H3" s="2" t="inlineStr">
        <is>
          <t>03001234567</t>
        </is>
      </c>
      <c r="I3" s="2" t="inlineStr">
        <is>
          <t>05-10-2026</t>
        </is>
      </c>
      <c r="J3" s="2" t="n">
        <v>3</v>
      </c>
      <c r="K3" s="2" t="n">
        <v>2500</v>
      </c>
      <c r="L3" s="2" t="inlineStr">
        <is>
          <t>Store</t>
        </is>
      </c>
      <c r="M3" s="2" t="n"/>
    </row>
    <row r="4">
      <c r="A4" s="2" t="inlineStr">
        <is>
          <t>ORD-1003</t>
        </is>
      </c>
      <c r="B4" s="2" t="inlineStr">
        <is>
          <t>OMAR</t>
        </is>
      </c>
      <c r="C4" s="2" t="inlineStr">
        <is>
          <t>Butt</t>
        </is>
      </c>
      <c r="D4" s="2" t="inlineStr">
        <is>
          <t xml:space="preserve"> karachi </t>
        </is>
      </c>
      <c r="E4" s="2" t="inlineStr">
        <is>
          <t>Laptop</t>
        </is>
      </c>
      <c r="F4" s="2" t="inlineStr">
        <is>
          <t>South</t>
        </is>
      </c>
      <c r="G4" s="2" t="inlineStr">
        <is>
          <t>omar12@example.com</t>
        </is>
      </c>
      <c r="H4" s="2" t="inlineStr">
        <is>
          <t>0333-1234567</t>
        </is>
      </c>
      <c r="I4" s="2" t="inlineStr">
        <is>
          <t>2026-10-01</t>
        </is>
      </c>
      <c r="J4" s="2" t="n">
        <v>5</v>
      </c>
      <c r="K4" s="2" t="n">
        <v>2500</v>
      </c>
      <c r="L4" s="2" t="inlineStr">
        <is>
          <t>store</t>
        </is>
      </c>
      <c r="M4" s="2" t="n"/>
    </row>
    <row r="5">
      <c r="A5" s="2" t="inlineStr">
        <is>
          <t>ORD-1004</t>
        </is>
      </c>
      <c r="B5" s="2" t="inlineStr">
        <is>
          <t>Fatima</t>
        </is>
      </c>
      <c r="C5" s="2" t="inlineStr">
        <is>
          <t xml:space="preserve">MALIK </t>
        </is>
      </c>
      <c r="D5" s="2" t="inlineStr">
        <is>
          <t xml:space="preserve">  Sukkur</t>
        </is>
      </c>
      <c r="E5" s="2" t="inlineStr">
        <is>
          <t>USB Drive</t>
        </is>
      </c>
      <c r="F5" s="2" t="inlineStr">
        <is>
          <t xml:space="preserve"> SOUTH </t>
        </is>
      </c>
      <c r="G5" s="2" t="inlineStr">
        <is>
          <t>fatima72@yahoo.com</t>
        </is>
      </c>
      <c r="H5" s="2" t="n"/>
      <c r="I5" s="2" t="inlineStr">
        <is>
          <t>2026-10-01</t>
        </is>
      </c>
      <c r="J5" s="2" t="n"/>
      <c r="K5" s="2" t="n">
        <v>1500</v>
      </c>
      <c r="L5" s="2" t="inlineStr">
        <is>
          <t>Store</t>
        </is>
      </c>
      <c r="M5" s="2" t="inlineStr">
        <is>
          <t>N/A</t>
        </is>
      </c>
    </row>
    <row r="6">
      <c r="A6" s="2" t="inlineStr">
        <is>
          <t>ORD-1005</t>
        </is>
      </c>
      <c r="B6" s="2" t="inlineStr">
        <is>
          <t>Noor</t>
        </is>
      </c>
      <c r="C6" s="2" t="inlineStr">
        <is>
          <t>Butt</t>
        </is>
      </c>
      <c r="D6" s="2" t="inlineStr">
        <is>
          <t>Peshawar</t>
        </is>
      </c>
      <c r="E6" s="2" t="inlineStr">
        <is>
          <t>Monitor</t>
        </is>
      </c>
      <c r="F6" s="2" t="inlineStr">
        <is>
          <t xml:space="preserve"> SOUTH </t>
        </is>
      </c>
      <c r="G6" s="2" t="inlineStr">
        <is>
          <t>noor83@gmail.com</t>
        </is>
      </c>
      <c r="H6" s="2" t="inlineStr">
        <is>
          <t xml:space="preserve"> 0312-5557788</t>
        </is>
      </c>
      <c r="I6" s="2" t="inlineStr">
        <is>
          <t>2026-10-03</t>
        </is>
      </c>
      <c r="J6" s="2" t="n">
        <v>5</v>
      </c>
      <c r="K6" s="2" t="n">
        <v>1500</v>
      </c>
      <c r="L6" s="2" t="inlineStr">
        <is>
          <t>WhatsApp</t>
        </is>
      </c>
      <c r="M6" s="2" t="inlineStr">
        <is>
          <t xml:space="preserve"> check address </t>
        </is>
      </c>
    </row>
    <row r="7">
      <c r="A7" s="2" t="inlineStr">
        <is>
          <t>ORD-1006</t>
        </is>
      </c>
      <c r="B7" s="2" t="inlineStr">
        <is>
          <t>OMAR</t>
        </is>
      </c>
      <c r="C7" s="2" t="inlineStr">
        <is>
          <t>Butt</t>
        </is>
      </c>
      <c r="D7" s="2" t="inlineStr">
        <is>
          <t>Hyderabad</t>
        </is>
      </c>
      <c r="E7" s="2" t="inlineStr">
        <is>
          <t>Laptop</t>
        </is>
      </c>
      <c r="F7" s="2" t="inlineStr">
        <is>
          <t>East</t>
        </is>
      </c>
      <c r="G7" s="2" t="inlineStr">
        <is>
          <t>omar48@yahoo.com</t>
        </is>
      </c>
      <c r="H7" s="2" t="inlineStr">
        <is>
          <t>03001234567</t>
        </is>
      </c>
      <c r="I7" s="2" t="inlineStr">
        <is>
          <t xml:space="preserve"> 2026-10-05 </t>
        </is>
      </c>
      <c r="J7" s="2" t="n">
        <v>3</v>
      </c>
      <c r="K7" s="2" t="n">
        <v>3500</v>
      </c>
      <c r="L7" s="2" t="inlineStr">
        <is>
          <t>Store</t>
        </is>
      </c>
      <c r="M7" s="2" t="inlineStr">
        <is>
          <t>N/A</t>
        </is>
      </c>
    </row>
    <row r="8">
      <c r="A8" s="2" t="inlineStr">
        <is>
          <t>ORD-1007</t>
        </is>
      </c>
      <c r="B8" s="2" t="inlineStr">
        <is>
          <t xml:space="preserve">  ali</t>
        </is>
      </c>
      <c r="C8" s="2" t="inlineStr">
        <is>
          <t>QURESHI</t>
        </is>
      </c>
      <c r="D8" s="2" t="inlineStr">
        <is>
          <t>Karachi</t>
        </is>
      </c>
      <c r="E8" s="2" t="inlineStr">
        <is>
          <t>Mouse</t>
        </is>
      </c>
      <c r="F8" s="2" t="inlineStr">
        <is>
          <t>north</t>
        </is>
      </c>
      <c r="G8" s="2" t="inlineStr">
        <is>
          <t>ali27@gmail.com</t>
        </is>
      </c>
      <c r="H8" s="2" t="n"/>
      <c r="I8" s="2" t="inlineStr">
        <is>
          <t>01/10/2026</t>
        </is>
      </c>
      <c r="J8" s="2" t="n">
        <v>1</v>
      </c>
      <c r="K8" s="2" t="n">
        <v>7500</v>
      </c>
      <c r="L8" s="2" t="inlineStr">
        <is>
          <t>WhatsApp</t>
        </is>
      </c>
      <c r="M8" s="2" t="inlineStr">
        <is>
          <t>Urgent</t>
        </is>
      </c>
    </row>
    <row r="9">
      <c r="A9" s="2" t="inlineStr">
        <is>
          <t>ORD-1008</t>
        </is>
      </c>
      <c r="B9" s="2" t="inlineStr">
        <is>
          <t xml:space="preserve">SARA </t>
        </is>
      </c>
      <c r="C9" s="2" t="inlineStr">
        <is>
          <t>Siddiqui</t>
        </is>
      </c>
      <c r="D9" s="2" t="inlineStr">
        <is>
          <t>Karachi</t>
        </is>
      </c>
      <c r="E9" s="2" t="inlineStr">
        <is>
          <t>Monitor</t>
        </is>
      </c>
      <c r="F9" s="2" t="inlineStr">
        <is>
          <t>East</t>
        </is>
      </c>
      <c r="G9" s="2" t="inlineStr">
        <is>
          <t>sara82@gmail.com</t>
        </is>
      </c>
      <c r="H9" s="2" t="n"/>
      <c r="I9" s="2" t="inlineStr">
        <is>
          <t xml:space="preserve"> 2026-10-05 </t>
        </is>
      </c>
      <c r="J9" s="2" t="n">
        <v>3</v>
      </c>
      <c r="K9" s="2" t="n">
        <v>12000</v>
      </c>
      <c r="L9" s="2" t="inlineStr">
        <is>
          <t>WhatsApp</t>
        </is>
      </c>
      <c r="M9" s="2" t="inlineStr">
        <is>
          <t xml:space="preserve"> check address </t>
        </is>
      </c>
    </row>
    <row r="10">
      <c r="A10" s="2" t="inlineStr">
        <is>
          <t>ORD-1009</t>
        </is>
      </c>
      <c r="B10" s="2" t="inlineStr">
        <is>
          <t>Ayesha</t>
        </is>
      </c>
      <c r="C10" s="2" t="inlineStr">
        <is>
          <t xml:space="preserve">  Raza </t>
        </is>
      </c>
      <c r="D10" s="2" t="inlineStr">
        <is>
          <t>Hyderabad</t>
        </is>
      </c>
      <c r="E10" s="2" t="inlineStr">
        <is>
          <t>Monitor</t>
        </is>
      </c>
      <c r="F10" s="2" t="inlineStr">
        <is>
          <t>West</t>
        </is>
      </c>
      <c r="G10" s="2" t="inlineStr">
        <is>
          <t>ayesha22@example.com</t>
        </is>
      </c>
      <c r="H10" s="2" t="n"/>
      <c r="I10" s="2" t="inlineStr">
        <is>
          <t>2026-10-03</t>
        </is>
      </c>
      <c r="J10" s="2" t="n">
        <v>4</v>
      </c>
      <c r="K10" s="2" t="n">
        <v>2500</v>
      </c>
      <c r="L10" s="2" t="inlineStr">
        <is>
          <t>store</t>
        </is>
      </c>
      <c r="M10" s="2" t="inlineStr">
        <is>
          <t>Urgent</t>
        </is>
      </c>
    </row>
    <row r="11">
      <c r="A11" s="2" t="inlineStr">
        <is>
          <t>ORD-1010</t>
        </is>
      </c>
      <c r="B11" s="2" t="inlineStr">
        <is>
          <t>Ayesha</t>
        </is>
      </c>
      <c r="C11" s="2" t="inlineStr">
        <is>
          <t>Shah</t>
        </is>
      </c>
      <c r="D11" s="2" t="inlineStr">
        <is>
          <t>Karachi</t>
        </is>
      </c>
      <c r="E11" s="2" t="inlineStr">
        <is>
          <t>Keyboard</t>
        </is>
      </c>
      <c r="F11" s="2" t="inlineStr">
        <is>
          <t>East</t>
        </is>
      </c>
      <c r="G11" s="2" t="inlineStr">
        <is>
          <t>ayesha2@gmail.com</t>
        </is>
      </c>
      <c r="H11" s="2" t="inlineStr">
        <is>
          <t xml:space="preserve"> 0312-5557788</t>
        </is>
      </c>
      <c r="I11" s="2" t="inlineStr">
        <is>
          <t>05-10-2026</t>
        </is>
      </c>
      <c r="J11" s="2" t="n">
        <v>2</v>
      </c>
      <c r="K11" s="2" t="n"/>
      <c r="L11" s="2" t="inlineStr">
        <is>
          <t>Store</t>
        </is>
      </c>
      <c r="M11" s="2" t="inlineStr"/>
    </row>
    <row r="12">
      <c r="A12" s="2" t="inlineStr">
        <is>
          <t>ORD-1011</t>
        </is>
      </c>
      <c r="B12" s="2" t="inlineStr">
        <is>
          <t>OMAR</t>
        </is>
      </c>
      <c r="C12" s="2" t="inlineStr">
        <is>
          <t>QURESHI</t>
        </is>
      </c>
      <c r="D12" s="2" t="inlineStr">
        <is>
          <t>LAHORE</t>
        </is>
      </c>
      <c r="E12" s="2" t="inlineStr">
        <is>
          <t>Laptop</t>
        </is>
      </c>
      <c r="F12" s="2" t="inlineStr">
        <is>
          <t>East</t>
        </is>
      </c>
      <c r="G12" s="2" t="inlineStr">
        <is>
          <t>omar16@yahoo.com</t>
        </is>
      </c>
      <c r="H12" s="2" t="n"/>
      <c r="I12" s="2" t="inlineStr">
        <is>
          <t>05-10-2026</t>
        </is>
      </c>
      <c r="J12" s="2" t="n">
        <v>3</v>
      </c>
      <c r="K12" s="2" t="n">
        <v>25000</v>
      </c>
      <c r="L12" s="2" t="inlineStr">
        <is>
          <t>store</t>
        </is>
      </c>
      <c r="M12" s="2" t="inlineStr">
        <is>
          <t>N/A</t>
        </is>
      </c>
    </row>
    <row r="13">
      <c r="A13" s="2" t="inlineStr">
        <is>
          <t>ORD-1012</t>
        </is>
      </c>
      <c r="B13" s="2" t="inlineStr">
        <is>
          <t xml:space="preserve">Usman </t>
        </is>
      </c>
      <c r="C13" s="2" t="inlineStr">
        <is>
          <t xml:space="preserve">  Raza </t>
        </is>
      </c>
      <c r="D13" s="2" t="inlineStr">
        <is>
          <t>Hyderabad</t>
        </is>
      </c>
      <c r="E13" s="2" t="inlineStr">
        <is>
          <t>Headphones</t>
        </is>
      </c>
      <c r="F13" s="2" t="inlineStr">
        <is>
          <t>West</t>
        </is>
      </c>
      <c r="G13" s="2" t="inlineStr">
        <is>
          <t>usman38@gmail.com</t>
        </is>
      </c>
      <c r="H13" s="2" t="inlineStr">
        <is>
          <t>0321 444 9988</t>
        </is>
      </c>
      <c r="I13" s="2" t="inlineStr">
        <is>
          <t>2026-10-03</t>
        </is>
      </c>
      <c r="J13" s="2" t="n">
        <v>2</v>
      </c>
      <c r="K13" s="2" t="n">
        <v>7500</v>
      </c>
      <c r="L13" s="2" t="inlineStr">
        <is>
          <t>store</t>
        </is>
      </c>
      <c r="M13" s="2" t="inlineStr">
        <is>
          <t>—</t>
        </is>
      </c>
    </row>
    <row r="14">
      <c r="A14" s="2" t="inlineStr">
        <is>
          <t>ORD-1013</t>
        </is>
      </c>
      <c r="B14" s="2" t="inlineStr">
        <is>
          <t xml:space="preserve">Usman </t>
        </is>
      </c>
      <c r="C14" s="2" t="inlineStr">
        <is>
          <t>Shah</t>
        </is>
      </c>
      <c r="D14" s="2" t="inlineStr">
        <is>
          <t>Hyderabad</t>
        </is>
      </c>
      <c r="E14" s="2" t="inlineStr">
        <is>
          <t>USB Drive</t>
        </is>
      </c>
      <c r="F14" s="2" t="inlineStr">
        <is>
          <t>East</t>
        </is>
      </c>
      <c r="G14" s="2" t="inlineStr">
        <is>
          <t>usman89@gmail.com</t>
        </is>
      </c>
      <c r="H14" s="2" t="inlineStr">
        <is>
          <t xml:space="preserve"> 0312-5557788</t>
        </is>
      </c>
      <c r="I14" s="2" t="inlineStr">
        <is>
          <t>05-10-2026</t>
        </is>
      </c>
      <c r="J14" s="2" t="n"/>
      <c r="K14" s="2" t="n">
        <v>1500</v>
      </c>
      <c r="L14" s="2" t="inlineStr">
        <is>
          <t>Website</t>
        </is>
      </c>
      <c r="M14" s="2" t="inlineStr">
        <is>
          <t xml:space="preserve"> check address </t>
        </is>
      </c>
    </row>
    <row r="15">
      <c r="A15" s="2" t="inlineStr">
        <is>
          <t>ORD-1014</t>
        </is>
      </c>
      <c r="B15" s="2" t="inlineStr">
        <is>
          <t>Fatima</t>
        </is>
      </c>
      <c r="C15" s="2" t="inlineStr">
        <is>
          <t xml:space="preserve">MALIK </t>
        </is>
      </c>
      <c r="D15" s="2" t="inlineStr">
        <is>
          <t xml:space="preserve">Islamabad </t>
        </is>
      </c>
      <c r="E15" s="2" t="inlineStr">
        <is>
          <t>Mouse</t>
        </is>
      </c>
      <c r="F15" s="2" t="inlineStr">
        <is>
          <t>West</t>
        </is>
      </c>
      <c r="G15" s="2" t="inlineStr">
        <is>
          <t>fatima73@outlook.com</t>
        </is>
      </c>
      <c r="H15" s="2" t="inlineStr">
        <is>
          <t>03001234567</t>
        </is>
      </c>
      <c r="I15" s="2" t="inlineStr">
        <is>
          <t xml:space="preserve"> 2026-10-05 </t>
        </is>
      </c>
      <c r="J15" s="2" t="n">
        <v>1</v>
      </c>
      <c r="K15" s="2" t="n">
        <v>12000</v>
      </c>
      <c r="L15" s="2" t="inlineStr">
        <is>
          <t>WhatsApp</t>
        </is>
      </c>
      <c r="M15" s="2" t="inlineStr">
        <is>
          <t>N/A</t>
        </is>
      </c>
    </row>
    <row r="16">
      <c r="A16" s="2" t="inlineStr">
        <is>
          <t>ORD-1015</t>
        </is>
      </c>
      <c r="B16" s="2" t="inlineStr">
        <is>
          <t>Noor</t>
        </is>
      </c>
      <c r="C16" s="2" t="inlineStr">
        <is>
          <t xml:space="preserve">  Ahmed</t>
        </is>
      </c>
      <c r="D16" s="2" t="inlineStr">
        <is>
          <t>Multan</t>
        </is>
      </c>
      <c r="E16" s="2" t="inlineStr">
        <is>
          <t>Webcam</t>
        </is>
      </c>
      <c r="F16" s="2" t="inlineStr">
        <is>
          <t>North</t>
        </is>
      </c>
      <c r="G16" s="2" t="inlineStr">
        <is>
          <t>noor48@example.com</t>
        </is>
      </c>
      <c r="H16" s="2" t="n"/>
      <c r="I16" s="2" t="inlineStr">
        <is>
          <t>01/10/2026</t>
        </is>
      </c>
      <c r="J16" s="2" t="n">
        <v>5</v>
      </c>
      <c r="K16" s="2" t="n">
        <v>3500</v>
      </c>
      <c r="L16" s="2" t="inlineStr">
        <is>
          <t xml:space="preserve">Website </t>
        </is>
      </c>
      <c r="M16" s="2" t="inlineStr"/>
    </row>
    <row r="17">
      <c r="A17" s="2" t="inlineStr">
        <is>
          <t>ORD-1016</t>
        </is>
      </c>
      <c r="B17" s="2" t="inlineStr">
        <is>
          <t>mUHAMMAD</t>
        </is>
      </c>
      <c r="C17" s="2" t="inlineStr">
        <is>
          <t>Khan</t>
        </is>
      </c>
      <c r="D17" s="2" t="inlineStr">
        <is>
          <t>Karachi</t>
        </is>
      </c>
      <c r="E17" s="2" t="inlineStr">
        <is>
          <t>Laptop</t>
        </is>
      </c>
      <c r="F17" s="2" t="inlineStr">
        <is>
          <t>West</t>
        </is>
      </c>
      <c r="G17" s="2" t="inlineStr">
        <is>
          <t>muhammad49@gmail.com</t>
        </is>
      </c>
      <c r="H17" s="2" t="inlineStr">
        <is>
          <t>0321 444 9988</t>
        </is>
      </c>
      <c r="I17" s="2" t="inlineStr">
        <is>
          <t>01/10/2026</t>
        </is>
      </c>
      <c r="J17" s="2" t="n">
        <v>2</v>
      </c>
      <c r="K17" s="2" t="n"/>
      <c r="L17" s="2" t="inlineStr">
        <is>
          <t xml:space="preserve">Website </t>
        </is>
      </c>
      <c r="M17" s="2" t="inlineStr">
        <is>
          <t xml:space="preserve"> check address </t>
        </is>
      </c>
    </row>
    <row r="18">
      <c r="A18" s="2" t="inlineStr">
        <is>
          <t>ORD-1017</t>
        </is>
      </c>
      <c r="B18" s="2" t="inlineStr">
        <is>
          <t xml:space="preserve">  hina  </t>
        </is>
      </c>
      <c r="C18" s="2" t="inlineStr">
        <is>
          <t>QURESHI</t>
        </is>
      </c>
      <c r="D18" s="2" t="inlineStr">
        <is>
          <t>Peshawar</t>
        </is>
      </c>
      <c r="E18" s="2" t="inlineStr">
        <is>
          <t>USB Drive</t>
        </is>
      </c>
      <c r="F18" s="2" t="inlineStr">
        <is>
          <t xml:space="preserve"> SOUTH </t>
        </is>
      </c>
      <c r="G18" s="2" t="inlineStr">
        <is>
          <t>hina77@example.com</t>
        </is>
      </c>
      <c r="H18" s="2" t="n"/>
      <c r="I18" s="2" t="inlineStr">
        <is>
          <t>01/10/2026</t>
        </is>
      </c>
      <c r="J18" s="2" t="n">
        <v>2</v>
      </c>
      <c r="K18" s="2" t="n">
        <v>12000</v>
      </c>
      <c r="L18" s="2" t="inlineStr">
        <is>
          <t>Website</t>
        </is>
      </c>
      <c r="M18" s="2" t="inlineStr"/>
    </row>
    <row r="19">
      <c r="A19" s="2" t="inlineStr">
        <is>
          <t>ORD-1012</t>
        </is>
      </c>
      <c r="B19" s="2" t="inlineStr">
        <is>
          <t>Fatima</t>
        </is>
      </c>
      <c r="C19" s="2" t="inlineStr">
        <is>
          <t xml:space="preserve">  Raza </t>
        </is>
      </c>
      <c r="D19" s="2" t="inlineStr">
        <is>
          <t xml:space="preserve">  Sukkur</t>
        </is>
      </c>
      <c r="E19" s="2" t="inlineStr">
        <is>
          <t>Laptop</t>
        </is>
      </c>
      <c r="F19" s="2" t="inlineStr">
        <is>
          <t>north</t>
        </is>
      </c>
      <c r="G19" s="2" t="inlineStr">
        <is>
          <t>fatima12@outlook.com</t>
        </is>
      </c>
      <c r="H19" s="2" t="inlineStr">
        <is>
          <t>0321 444 9988</t>
        </is>
      </c>
      <c r="I19" s="2" t="inlineStr">
        <is>
          <t>01/10/2026</t>
        </is>
      </c>
      <c r="J19" s="2" t="n">
        <v>2</v>
      </c>
      <c r="K19" s="2" t="n">
        <v>25000</v>
      </c>
      <c r="L19" s="2" t="inlineStr">
        <is>
          <t>Facebook</t>
        </is>
      </c>
      <c r="M19" s="2" t="n"/>
    </row>
    <row r="20">
      <c r="A20" s="2" t="inlineStr">
        <is>
          <t>ORD-1019</t>
        </is>
      </c>
      <c r="B20" s="2" t="inlineStr">
        <is>
          <t>Fatima</t>
        </is>
      </c>
      <c r="C20" s="2" t="inlineStr">
        <is>
          <t xml:space="preserve">  Raza </t>
        </is>
      </c>
      <c r="D20" s="2" t="inlineStr">
        <is>
          <t>LAHORE</t>
        </is>
      </c>
      <c r="E20" s="2" t="inlineStr">
        <is>
          <t>Laptop</t>
        </is>
      </c>
      <c r="F20" s="2" t="inlineStr">
        <is>
          <t>North</t>
        </is>
      </c>
      <c r="G20" s="2" t="inlineStr">
        <is>
          <t>fatima63@yahoo.com</t>
        </is>
      </c>
      <c r="H20" s="2" t="inlineStr">
        <is>
          <t>03001234567</t>
        </is>
      </c>
      <c r="I20" s="2" t="inlineStr">
        <is>
          <t>05-10-2026</t>
        </is>
      </c>
      <c r="J20" s="2" t="n">
        <v>5</v>
      </c>
      <c r="K20" s="2" t="n">
        <v>7500</v>
      </c>
      <c r="L20" s="2" t="inlineStr">
        <is>
          <t>WhatsApp</t>
        </is>
      </c>
      <c r="M20" s="2" t="inlineStr">
        <is>
          <t xml:space="preserve"> check address </t>
        </is>
      </c>
    </row>
    <row r="21">
      <c r="A21" s="2" t="inlineStr">
        <is>
          <t>ORD-1020</t>
        </is>
      </c>
      <c r="B21" s="2" t="inlineStr">
        <is>
          <t xml:space="preserve">Usman </t>
        </is>
      </c>
      <c r="C21" s="2" t="inlineStr">
        <is>
          <t>Shah</t>
        </is>
      </c>
      <c r="D21" s="2" t="inlineStr">
        <is>
          <t xml:space="preserve">  Sukkur</t>
        </is>
      </c>
      <c r="E21" s="2" t="inlineStr">
        <is>
          <t>Laptop</t>
        </is>
      </c>
      <c r="F21" s="2" t="inlineStr">
        <is>
          <t>North</t>
        </is>
      </c>
      <c r="G21" s="2" t="inlineStr">
        <is>
          <t>usman36@yahoo.com</t>
        </is>
      </c>
      <c r="H21" s="2" t="inlineStr">
        <is>
          <t>0333-1234567</t>
        </is>
      </c>
      <c r="I21" s="2" t="inlineStr">
        <is>
          <t>2026-10-03</t>
        </is>
      </c>
      <c r="J21" s="2" t="n">
        <v>3</v>
      </c>
      <c r="K21" s="2" t="n">
        <v>3500</v>
      </c>
      <c r="L21" s="2" t="inlineStr">
        <is>
          <t>Website</t>
        </is>
      </c>
      <c r="M21" s="2" t="inlineStr">
        <is>
          <t>Urgent</t>
        </is>
      </c>
    </row>
    <row r="22">
      <c r="A22" s="2" t="inlineStr">
        <is>
          <t>ORD-1021</t>
        </is>
      </c>
      <c r="B22" s="2" t="inlineStr">
        <is>
          <t>zain</t>
        </is>
      </c>
      <c r="C22" s="2" t="inlineStr">
        <is>
          <t xml:space="preserve">MALIK </t>
        </is>
      </c>
      <c r="D22" s="2" t="inlineStr">
        <is>
          <t xml:space="preserve">  Sukkur</t>
        </is>
      </c>
      <c r="E22" s="2" t="inlineStr">
        <is>
          <t>Mouse</t>
        </is>
      </c>
      <c r="F22" s="2" t="inlineStr">
        <is>
          <t xml:space="preserve"> SOUTH </t>
        </is>
      </c>
      <c r="G22" s="2" t="inlineStr">
        <is>
          <t>zain65@yahoo.com</t>
        </is>
      </c>
      <c r="H22" s="2" t="inlineStr">
        <is>
          <t>0333-1234567</t>
        </is>
      </c>
      <c r="I22" s="2" t="inlineStr">
        <is>
          <t xml:space="preserve"> 2026-10-05 </t>
        </is>
      </c>
      <c r="J22" s="2" t="n">
        <v>4</v>
      </c>
      <c r="K22" s="2" t="n">
        <v>12000</v>
      </c>
      <c r="L22" s="2" t="inlineStr">
        <is>
          <t>WhatsApp</t>
        </is>
      </c>
      <c r="M22" s="2" t="inlineStr"/>
    </row>
    <row r="23">
      <c r="A23" s="2" t="inlineStr">
        <is>
          <t>ORD-1022</t>
        </is>
      </c>
      <c r="B23" s="2" t="inlineStr">
        <is>
          <t>Ayesha</t>
        </is>
      </c>
      <c r="C23" s="2" t="inlineStr">
        <is>
          <t>Butt</t>
        </is>
      </c>
      <c r="D23" s="2" t="inlineStr">
        <is>
          <t>Multan</t>
        </is>
      </c>
      <c r="E23" s="2" t="inlineStr">
        <is>
          <t>USB Drive</t>
        </is>
      </c>
      <c r="F23" s="2" t="inlineStr">
        <is>
          <t>north</t>
        </is>
      </c>
      <c r="G23" s="2" t="inlineStr">
        <is>
          <t>ayesha14@outlook.com</t>
        </is>
      </c>
      <c r="H23" s="2" t="inlineStr">
        <is>
          <t>0321 444 9988</t>
        </is>
      </c>
      <c r="I23" s="2" t="inlineStr">
        <is>
          <t>2026-10-01</t>
        </is>
      </c>
      <c r="J23" s="2" t="n"/>
      <c r="K23" s="2" t="n">
        <v>1500</v>
      </c>
      <c r="L23" s="2" t="inlineStr">
        <is>
          <t>WhatsApp</t>
        </is>
      </c>
      <c r="M23" s="2" t="inlineStr">
        <is>
          <t xml:space="preserve"> check address </t>
        </is>
      </c>
    </row>
    <row r="24">
      <c r="A24" s="2" t="inlineStr">
        <is>
          <t>ORD-1023</t>
        </is>
      </c>
      <c r="B24" s="2" t="inlineStr">
        <is>
          <t xml:space="preserve">Usman </t>
        </is>
      </c>
      <c r="C24" s="2" t="inlineStr">
        <is>
          <t xml:space="preserve">  Raza </t>
        </is>
      </c>
      <c r="D24" s="2" t="inlineStr">
        <is>
          <t>Hyderabad</t>
        </is>
      </c>
      <c r="E24" s="2" t="inlineStr">
        <is>
          <t>Mouse</t>
        </is>
      </c>
      <c r="F24" s="2" t="inlineStr">
        <is>
          <t>North</t>
        </is>
      </c>
      <c r="G24" s="2" t="inlineStr">
        <is>
          <t>usman70@yahoo.com</t>
        </is>
      </c>
      <c r="H24" s="2" t="inlineStr">
        <is>
          <t>0321 444 9988</t>
        </is>
      </c>
      <c r="I24" s="2" t="inlineStr">
        <is>
          <t xml:space="preserve"> 2026-10-05 </t>
        </is>
      </c>
      <c r="J24" s="2" t="n">
        <v>2</v>
      </c>
      <c r="K24" s="2" t="n"/>
      <c r="L24" s="2" t="inlineStr">
        <is>
          <t>WhatsApp</t>
        </is>
      </c>
      <c r="M24" s="2" t="inlineStr"/>
    </row>
    <row r="25">
      <c r="A25" s="2" t="inlineStr">
        <is>
          <t>ORD-1024</t>
        </is>
      </c>
      <c r="B25" s="2" t="inlineStr">
        <is>
          <t>Fatima</t>
        </is>
      </c>
      <c r="C25" s="2" t="inlineStr">
        <is>
          <t xml:space="preserve">  Raza </t>
        </is>
      </c>
      <c r="D25" s="2" t="inlineStr">
        <is>
          <t>Hyderabad</t>
        </is>
      </c>
      <c r="E25" s="2" t="inlineStr">
        <is>
          <t>Monitor</t>
        </is>
      </c>
      <c r="F25" s="2" t="inlineStr">
        <is>
          <t>north</t>
        </is>
      </c>
      <c r="G25" s="2" t="inlineStr">
        <is>
          <t>fatima78@outlook.com</t>
        </is>
      </c>
      <c r="H25" s="2" t="inlineStr">
        <is>
          <t xml:space="preserve"> 0312-5557788</t>
        </is>
      </c>
      <c r="I25" s="2" t="inlineStr">
        <is>
          <t>01/10/2026</t>
        </is>
      </c>
      <c r="J25" s="2" t="n">
        <v>3</v>
      </c>
      <c r="K25" s="2" t="n">
        <v>7500</v>
      </c>
      <c r="L25" s="2" t="inlineStr">
        <is>
          <t xml:space="preserve">Website </t>
        </is>
      </c>
      <c r="M25" s="2" t="inlineStr">
        <is>
          <t xml:space="preserve"> check address </t>
        </is>
      </c>
    </row>
    <row r="26">
      <c r="A26" s="2" t="inlineStr">
        <is>
          <t>ORD-1025</t>
        </is>
      </c>
      <c r="B26" s="2" t="inlineStr">
        <is>
          <t xml:space="preserve">  ali</t>
        </is>
      </c>
      <c r="C26" s="2" t="inlineStr">
        <is>
          <t xml:space="preserve">Sheikh </t>
        </is>
      </c>
      <c r="D26" s="2" t="inlineStr">
        <is>
          <t>Multan</t>
        </is>
      </c>
      <c r="E26" s="2" t="inlineStr">
        <is>
          <t>Monitor</t>
        </is>
      </c>
      <c r="F26" s="2" t="inlineStr">
        <is>
          <t>West</t>
        </is>
      </c>
      <c r="G26" s="2" t="inlineStr">
        <is>
          <t>sara82@gmail.com</t>
        </is>
      </c>
      <c r="H26" s="2" t="inlineStr">
        <is>
          <t>0333-1234567</t>
        </is>
      </c>
      <c r="I26" s="2" t="inlineStr">
        <is>
          <t xml:space="preserve"> 2026-10-05 </t>
        </is>
      </c>
      <c r="J26" s="2" t="n"/>
      <c r="K26" s="2" t="n">
        <v>3500</v>
      </c>
      <c r="L26" s="2" t="inlineStr">
        <is>
          <t xml:space="preserve">Website </t>
        </is>
      </c>
      <c r="M26" s="2" t="inlineStr">
        <is>
          <t>N/A</t>
        </is>
      </c>
    </row>
    <row r="27">
      <c r="A27" s="2" t="inlineStr">
        <is>
          <t>ORD-1026</t>
        </is>
      </c>
      <c r="B27" s="2" t="inlineStr">
        <is>
          <t>Fatima</t>
        </is>
      </c>
      <c r="C27" s="2" t="inlineStr">
        <is>
          <t xml:space="preserve">MALIK </t>
        </is>
      </c>
      <c r="D27" s="2" t="inlineStr">
        <is>
          <t>LAHORE</t>
        </is>
      </c>
      <c r="E27" s="2" t="inlineStr">
        <is>
          <t>Webcam</t>
        </is>
      </c>
      <c r="F27" s="2" t="inlineStr">
        <is>
          <t>North</t>
        </is>
      </c>
      <c r="G27" s="2" t="inlineStr">
        <is>
          <t>fatima67@gmail.com</t>
        </is>
      </c>
      <c r="H27" s="2" t="inlineStr">
        <is>
          <t>0321 444 9988</t>
        </is>
      </c>
      <c r="I27" s="2" t="inlineStr">
        <is>
          <t>2026-10-03</t>
        </is>
      </c>
      <c r="J27" s="2" t="n">
        <v>1</v>
      </c>
      <c r="K27" s="2" t="n">
        <v>3500</v>
      </c>
      <c r="L27" s="2" t="inlineStr">
        <is>
          <t>Facebook</t>
        </is>
      </c>
      <c r="M27" s="2" t="inlineStr">
        <is>
          <t>Urgent</t>
        </is>
      </c>
    </row>
    <row r="28">
      <c r="A28" s="2" t="inlineStr">
        <is>
          <t>ORD-1027</t>
        </is>
      </c>
      <c r="B28" s="2" t="inlineStr">
        <is>
          <t xml:space="preserve">  hina  </t>
        </is>
      </c>
      <c r="C28" s="2" t="inlineStr">
        <is>
          <t>Shah</t>
        </is>
      </c>
      <c r="D28" s="2" t="inlineStr">
        <is>
          <t>Karachi</t>
        </is>
      </c>
      <c r="E28" s="2" t="inlineStr">
        <is>
          <t>USB Drive</t>
        </is>
      </c>
      <c r="F28" s="2" t="inlineStr">
        <is>
          <t>East</t>
        </is>
      </c>
      <c r="G28" s="2" t="inlineStr">
        <is>
          <t>hina22@yahoo.com</t>
        </is>
      </c>
      <c r="H28" s="2" t="inlineStr">
        <is>
          <t xml:space="preserve"> 0312-5557788</t>
        </is>
      </c>
      <c r="I28" s="2" t="inlineStr">
        <is>
          <t>01/10/2026</t>
        </is>
      </c>
      <c r="J28" s="2" t="n">
        <v>1</v>
      </c>
      <c r="K28" s="2" t="n"/>
      <c r="L28" s="2" t="inlineStr">
        <is>
          <t>Website</t>
        </is>
      </c>
      <c r="M28" s="2" t="n"/>
    </row>
    <row r="29">
      <c r="A29" s="2" t="inlineStr">
        <is>
          <t>ORD-1028</t>
        </is>
      </c>
      <c r="B29" s="2" t="inlineStr">
        <is>
          <t xml:space="preserve">  hina  </t>
        </is>
      </c>
      <c r="C29" s="2" t="inlineStr">
        <is>
          <t>Shah</t>
        </is>
      </c>
      <c r="D29" s="2" t="inlineStr">
        <is>
          <t>LAHORE</t>
        </is>
      </c>
      <c r="E29" s="2" t="inlineStr">
        <is>
          <t>Webcam</t>
        </is>
      </c>
      <c r="F29" s="2" t="inlineStr">
        <is>
          <t>East</t>
        </is>
      </c>
      <c r="G29" s="2" t="inlineStr">
        <is>
          <t>hina14@outlook.com</t>
        </is>
      </c>
      <c r="H29" s="2" t="inlineStr">
        <is>
          <t>0333-1234567</t>
        </is>
      </c>
      <c r="I29" s="2" t="inlineStr">
        <is>
          <t>05-10-2026</t>
        </is>
      </c>
      <c r="J29" s="2" t="n">
        <v>1</v>
      </c>
      <c r="K29" s="2" t="n">
        <v>12000</v>
      </c>
      <c r="L29" s="2" t="inlineStr">
        <is>
          <t xml:space="preserve">Website </t>
        </is>
      </c>
      <c r="M29" s="2" t="inlineStr">
        <is>
          <t>Urgent</t>
        </is>
      </c>
    </row>
    <row r="30">
      <c r="A30" s="2" t="inlineStr">
        <is>
          <t>ORD-1029</t>
        </is>
      </c>
      <c r="B30" s="2" t="inlineStr">
        <is>
          <t xml:space="preserve">Usman </t>
        </is>
      </c>
      <c r="C30" s="2" t="inlineStr">
        <is>
          <t xml:space="preserve">  Ahmed</t>
        </is>
      </c>
      <c r="D30" s="2" t="inlineStr">
        <is>
          <t>Karachi</t>
        </is>
      </c>
      <c r="E30" s="2" t="inlineStr">
        <is>
          <t>Headphones</t>
        </is>
      </c>
      <c r="F30" s="2" t="inlineStr">
        <is>
          <t>North</t>
        </is>
      </c>
      <c r="G30" s="2" t="inlineStr">
        <is>
          <t>usman82@outlook.com</t>
        </is>
      </c>
      <c r="H30" s="2" t="inlineStr">
        <is>
          <t>0333-1234567</t>
        </is>
      </c>
      <c r="I30" s="2" t="inlineStr">
        <is>
          <t>2026-10-03</t>
        </is>
      </c>
      <c r="J30" s="2" t="n">
        <v>5</v>
      </c>
      <c r="K30" s="2" t="n">
        <v>7500</v>
      </c>
      <c r="L30" s="2" t="inlineStr">
        <is>
          <t>WhatsApp</t>
        </is>
      </c>
      <c r="M30" s="2" t="n"/>
    </row>
    <row r="31">
      <c r="A31" s="2" t="inlineStr">
        <is>
          <t>ORD-1030</t>
        </is>
      </c>
      <c r="B31" s="2" t="inlineStr">
        <is>
          <t>Fatima</t>
        </is>
      </c>
      <c r="C31" s="2" t="inlineStr">
        <is>
          <t>Butt</t>
        </is>
      </c>
      <c r="D31" s="2" t="inlineStr">
        <is>
          <t>Karachi</t>
        </is>
      </c>
      <c r="E31" s="2" t="inlineStr">
        <is>
          <t>Headphones</t>
        </is>
      </c>
      <c r="F31" s="2" t="inlineStr">
        <is>
          <t>East</t>
        </is>
      </c>
      <c r="G31" s="2" t="inlineStr">
        <is>
          <t>fatima97@outlook.com</t>
        </is>
      </c>
      <c r="H31" s="2" t="inlineStr">
        <is>
          <t>03001234567</t>
        </is>
      </c>
      <c r="I31" s="2" t="inlineStr">
        <is>
          <t xml:space="preserve"> 2026-10-05 </t>
        </is>
      </c>
      <c r="J31" s="2" t="n">
        <v>2</v>
      </c>
      <c r="K31" s="2" t="n">
        <v>7500</v>
      </c>
      <c r="L31" s="2" t="inlineStr">
        <is>
          <t>Website</t>
        </is>
      </c>
      <c r="M31" s="2" t="inlineStr">
        <is>
          <t>—</t>
        </is>
      </c>
    </row>
    <row r="32">
      <c r="A32" s="2" t="inlineStr">
        <is>
          <t>ORD-1031</t>
        </is>
      </c>
      <c r="B32" s="2" t="inlineStr">
        <is>
          <t>Fatima</t>
        </is>
      </c>
      <c r="C32" s="2" t="inlineStr">
        <is>
          <t xml:space="preserve">Sheikh </t>
        </is>
      </c>
      <c r="D32" s="2" t="inlineStr">
        <is>
          <t xml:space="preserve">  Sukkur</t>
        </is>
      </c>
      <c r="E32" s="2" t="inlineStr">
        <is>
          <t>Webcam</t>
        </is>
      </c>
      <c r="F32" s="2" t="inlineStr">
        <is>
          <t>South</t>
        </is>
      </c>
      <c r="G32" s="2" t="inlineStr">
        <is>
          <t>fatima30@gmail.com</t>
        </is>
      </c>
      <c r="H32" s="2" t="inlineStr">
        <is>
          <t>0333-1234567</t>
        </is>
      </c>
      <c r="I32" s="2" t="inlineStr">
        <is>
          <t>2026-10-01</t>
        </is>
      </c>
      <c r="J32" s="2" t="n">
        <v>3</v>
      </c>
      <c r="K32" s="2" t="n">
        <v>1500</v>
      </c>
      <c r="L32" s="2" t="inlineStr">
        <is>
          <t>Store</t>
        </is>
      </c>
      <c r="M32" s="2" t="inlineStr"/>
    </row>
    <row r="33">
      <c r="A33" s="2" t="inlineStr">
        <is>
          <t>ORD-1032</t>
        </is>
      </c>
      <c r="B33" s="2" t="inlineStr">
        <is>
          <t xml:space="preserve">  ali</t>
        </is>
      </c>
      <c r="C33" s="2" t="inlineStr">
        <is>
          <t>Shah</t>
        </is>
      </c>
      <c r="D33" s="2" t="inlineStr">
        <is>
          <t>Karachi</t>
        </is>
      </c>
      <c r="E33" s="2" t="inlineStr">
        <is>
          <t>Laptop</t>
        </is>
      </c>
      <c r="F33" s="2" t="inlineStr">
        <is>
          <t>north</t>
        </is>
      </c>
      <c r="G33" s="2" t="inlineStr">
        <is>
          <t>ali93@gmail.com</t>
        </is>
      </c>
      <c r="H33" s="2" t="n"/>
      <c r="I33" s="2" t="inlineStr">
        <is>
          <t>01/10/2026</t>
        </is>
      </c>
      <c r="J33" s="2" t="n">
        <v>5</v>
      </c>
      <c r="K33" s="2" t="n">
        <v>12000</v>
      </c>
      <c r="L33" s="2" t="inlineStr">
        <is>
          <t>store</t>
        </is>
      </c>
      <c r="M33" s="2" t="inlineStr">
        <is>
          <t>—</t>
        </is>
      </c>
    </row>
    <row r="34">
      <c r="A34" s="2" t="inlineStr">
        <is>
          <t>ORD-1033</t>
        </is>
      </c>
      <c r="B34" s="2" t="inlineStr">
        <is>
          <t xml:space="preserve">Usman </t>
        </is>
      </c>
      <c r="C34" s="2" t="inlineStr">
        <is>
          <t>Shah</t>
        </is>
      </c>
      <c r="D34" s="2" t="inlineStr">
        <is>
          <t>Peshawar</t>
        </is>
      </c>
      <c r="E34" s="2" t="inlineStr">
        <is>
          <t>Webcam</t>
        </is>
      </c>
      <c r="F34" s="2" t="inlineStr">
        <is>
          <t>East</t>
        </is>
      </c>
      <c r="G34" s="2" t="inlineStr">
        <is>
          <t>usman41@yahoo.com</t>
        </is>
      </c>
      <c r="H34" s="2" t="inlineStr">
        <is>
          <t>0333-1234567</t>
        </is>
      </c>
      <c r="I34" s="2" t="inlineStr">
        <is>
          <t>2026-10-01</t>
        </is>
      </c>
      <c r="J34" s="2" t="n"/>
      <c r="K34" s="2" t="n">
        <v>12000</v>
      </c>
      <c r="L34" s="2" t="inlineStr">
        <is>
          <t>WhatsApp</t>
        </is>
      </c>
      <c r="M34" s="2" t="n"/>
    </row>
    <row r="35">
      <c r="A35" s="2" t="inlineStr">
        <is>
          <t>ORD-1034</t>
        </is>
      </c>
      <c r="B35" s="2" t="inlineStr">
        <is>
          <t>Noor</t>
        </is>
      </c>
      <c r="C35" s="2" t="inlineStr">
        <is>
          <t xml:space="preserve">  Raza </t>
        </is>
      </c>
      <c r="D35" s="2" t="inlineStr">
        <is>
          <t>Karachi</t>
        </is>
      </c>
      <c r="E35" s="2" t="inlineStr">
        <is>
          <t>Webcam</t>
        </is>
      </c>
      <c r="F35" s="2" t="inlineStr">
        <is>
          <t>north</t>
        </is>
      </c>
      <c r="G35" s="2" t="inlineStr">
        <is>
          <t>noor16@example.com</t>
        </is>
      </c>
      <c r="H35" s="2" t="n"/>
      <c r="I35" s="2" t="inlineStr">
        <is>
          <t>01/10/2026</t>
        </is>
      </c>
      <c r="J35" s="2" t="n">
        <v>2</v>
      </c>
      <c r="K35" s="2" t="n">
        <v>3500</v>
      </c>
      <c r="L35" s="2" t="inlineStr">
        <is>
          <t>Facebook</t>
        </is>
      </c>
      <c r="M35" s="2" t="n"/>
    </row>
    <row r="36">
      <c r="A36" s="2" t="inlineStr">
        <is>
          <t>ORD-1035</t>
        </is>
      </c>
      <c r="B36" s="2" t="inlineStr">
        <is>
          <t xml:space="preserve">  hina  </t>
        </is>
      </c>
      <c r="C36" s="2" t="inlineStr">
        <is>
          <t>Khan</t>
        </is>
      </c>
      <c r="D36" s="2" t="inlineStr">
        <is>
          <t xml:space="preserve">Islamabad </t>
        </is>
      </c>
      <c r="E36" s="2" t="inlineStr">
        <is>
          <t>Mouse</t>
        </is>
      </c>
      <c r="F36" s="2" t="inlineStr">
        <is>
          <t>South</t>
        </is>
      </c>
      <c r="G36" s="2" t="inlineStr">
        <is>
          <t>hina44@example.com</t>
        </is>
      </c>
      <c r="H36" s="2" t="inlineStr">
        <is>
          <t>0321 444 9988</t>
        </is>
      </c>
      <c r="I36" s="2" t="inlineStr">
        <is>
          <t>2026-10-03</t>
        </is>
      </c>
      <c r="J36" s="2" t="n">
        <v>4</v>
      </c>
      <c r="K36" s="2" t="n">
        <v>25000</v>
      </c>
      <c r="L36" s="2" t="inlineStr">
        <is>
          <t>WhatsApp</t>
        </is>
      </c>
      <c r="M36" s="2" t="inlineStr">
        <is>
          <t>—</t>
        </is>
      </c>
    </row>
    <row r="37">
      <c r="A37" s="2" t="inlineStr">
        <is>
          <t>ORD-1036</t>
        </is>
      </c>
      <c r="B37" s="2" t="inlineStr">
        <is>
          <t>Fatima</t>
        </is>
      </c>
      <c r="C37" s="2" t="inlineStr">
        <is>
          <t>Iqbal</t>
        </is>
      </c>
      <c r="D37" s="2" t="inlineStr">
        <is>
          <t xml:space="preserve">  Sukkur</t>
        </is>
      </c>
      <c r="E37" s="2" t="inlineStr">
        <is>
          <t>Mouse</t>
        </is>
      </c>
      <c r="F37" s="2" t="inlineStr">
        <is>
          <t xml:space="preserve"> SOUTH </t>
        </is>
      </c>
      <c r="G37" s="2" t="inlineStr">
        <is>
          <t>fatima47@gmail.com</t>
        </is>
      </c>
      <c r="H37" s="2" t="inlineStr">
        <is>
          <t xml:space="preserve"> 0312-5557788</t>
        </is>
      </c>
      <c r="I37" s="2" t="inlineStr">
        <is>
          <t>2026-10-03</t>
        </is>
      </c>
      <c r="J37" s="2" t="n">
        <v>5</v>
      </c>
      <c r="K37" s="2" t="n">
        <v>12000</v>
      </c>
      <c r="L37" s="2" t="inlineStr">
        <is>
          <t>store</t>
        </is>
      </c>
      <c r="M37" s="2" t="inlineStr">
        <is>
          <t>N/A</t>
        </is>
      </c>
    </row>
    <row r="38">
      <c r="A38" s="2" t="inlineStr">
        <is>
          <t>ORD-1012</t>
        </is>
      </c>
      <c r="B38" s="2" t="inlineStr">
        <is>
          <t xml:space="preserve">  hina  </t>
        </is>
      </c>
      <c r="C38" s="2" t="inlineStr">
        <is>
          <t xml:space="preserve">Sheikh </t>
        </is>
      </c>
      <c r="D38" s="2" t="inlineStr">
        <is>
          <t>LAHORE</t>
        </is>
      </c>
      <c r="E38" s="2" t="inlineStr">
        <is>
          <t>Webcam</t>
        </is>
      </c>
      <c r="F38" s="2" t="inlineStr">
        <is>
          <t xml:space="preserve"> SOUTH </t>
        </is>
      </c>
      <c r="G38" s="2" t="inlineStr">
        <is>
          <t>hina36@outlook.com</t>
        </is>
      </c>
      <c r="H38" s="2" t="inlineStr">
        <is>
          <t>0321 444 9988</t>
        </is>
      </c>
      <c r="I38" s="2" t="inlineStr">
        <is>
          <t xml:space="preserve"> 2026-10-05 </t>
        </is>
      </c>
      <c r="J38" s="2" t="n">
        <v>4</v>
      </c>
      <c r="K38" s="2" t="n">
        <v>25000</v>
      </c>
      <c r="L38" s="2" t="inlineStr">
        <is>
          <t>store</t>
        </is>
      </c>
      <c r="M38" s="2" t="inlineStr"/>
    </row>
    <row r="39">
      <c r="A39" s="2" t="inlineStr">
        <is>
          <t>ORD-1038</t>
        </is>
      </c>
      <c r="B39" s="2" t="inlineStr">
        <is>
          <t xml:space="preserve">SARA </t>
        </is>
      </c>
      <c r="C39" s="2" t="inlineStr">
        <is>
          <t xml:space="preserve">Sheikh </t>
        </is>
      </c>
      <c r="D39" s="2" t="inlineStr">
        <is>
          <t>Peshawar</t>
        </is>
      </c>
      <c r="E39" s="2" t="inlineStr">
        <is>
          <t>Mouse</t>
        </is>
      </c>
      <c r="F39" s="2" t="inlineStr">
        <is>
          <t>East</t>
        </is>
      </c>
      <c r="G39" s="2" t="inlineStr">
        <is>
          <t>sara80@outlook.com</t>
        </is>
      </c>
      <c r="H39" s="2" t="inlineStr">
        <is>
          <t>0333-1234567</t>
        </is>
      </c>
      <c r="I39" s="2" t="inlineStr">
        <is>
          <t>2026-10-03</t>
        </is>
      </c>
      <c r="J39" s="2" t="n">
        <v>2</v>
      </c>
      <c r="K39" s="2" t="n">
        <v>12000</v>
      </c>
      <c r="L39" s="2" t="inlineStr">
        <is>
          <t xml:space="preserve">Website </t>
        </is>
      </c>
      <c r="M39" s="2" t="inlineStr">
        <is>
          <t xml:space="preserve"> check address </t>
        </is>
      </c>
    </row>
    <row r="40">
      <c r="A40" s="2" t="inlineStr">
        <is>
          <t>ORD-1039</t>
        </is>
      </c>
      <c r="B40" s="2" t="inlineStr">
        <is>
          <t>OMAR</t>
        </is>
      </c>
      <c r="C40" s="2" t="inlineStr">
        <is>
          <t xml:space="preserve">  Raza </t>
        </is>
      </c>
      <c r="D40" s="2" t="inlineStr">
        <is>
          <t xml:space="preserve">  Sukkur</t>
        </is>
      </c>
      <c r="E40" s="2" t="inlineStr">
        <is>
          <t>USB Drive</t>
        </is>
      </c>
      <c r="F40" s="2" t="inlineStr">
        <is>
          <t xml:space="preserve"> SOUTH </t>
        </is>
      </c>
      <c r="G40" s="2" t="inlineStr">
        <is>
          <t>omar80@example.com</t>
        </is>
      </c>
      <c r="H40" s="2" t="inlineStr">
        <is>
          <t xml:space="preserve"> 0312-5557788</t>
        </is>
      </c>
      <c r="I40" s="2" t="inlineStr">
        <is>
          <t>2026-10-03</t>
        </is>
      </c>
      <c r="J40" s="2" t="n">
        <v>1</v>
      </c>
      <c r="K40" s="2" t="n">
        <v>2500</v>
      </c>
      <c r="L40" s="2" t="inlineStr">
        <is>
          <t>WhatsApp</t>
        </is>
      </c>
      <c r="M40" s="2" t="inlineStr">
        <is>
          <t>—</t>
        </is>
      </c>
    </row>
    <row r="41">
      <c r="A41" s="2" t="inlineStr">
        <is>
          <t>ORD-1040</t>
        </is>
      </c>
      <c r="B41" s="2" t="inlineStr">
        <is>
          <t>OMAR</t>
        </is>
      </c>
      <c r="C41" s="2" t="inlineStr">
        <is>
          <t xml:space="preserve">Sheikh </t>
        </is>
      </c>
      <c r="D41" s="2" t="inlineStr">
        <is>
          <t xml:space="preserve">  Sukkur</t>
        </is>
      </c>
      <c r="E41" s="2" t="inlineStr">
        <is>
          <t>Webcam</t>
        </is>
      </c>
      <c r="F41" s="2" t="inlineStr">
        <is>
          <t>North</t>
        </is>
      </c>
      <c r="G41" s="2" t="inlineStr">
        <is>
          <t>omar85@example.com</t>
        </is>
      </c>
      <c r="H41" s="2" t="inlineStr">
        <is>
          <t>03001234567</t>
        </is>
      </c>
      <c r="I41" s="2" t="inlineStr">
        <is>
          <t>05-10-2026</t>
        </is>
      </c>
      <c r="J41" s="2" t="n">
        <v>3</v>
      </c>
      <c r="K41" s="2" t="n">
        <v>3500</v>
      </c>
      <c r="L41" s="2" t="inlineStr">
        <is>
          <t>Facebook</t>
        </is>
      </c>
      <c r="M41" s="2" t="inlineStr">
        <is>
          <t xml:space="preserve"> check address </t>
        </is>
      </c>
    </row>
    <row r="42">
      <c r="A42" s="2" t="inlineStr">
        <is>
          <t>ORD-1041</t>
        </is>
      </c>
      <c r="B42" s="2" t="inlineStr">
        <is>
          <t>zain</t>
        </is>
      </c>
      <c r="C42" s="2" t="inlineStr">
        <is>
          <t xml:space="preserve">  Ahmed</t>
        </is>
      </c>
      <c r="D42" s="2" t="inlineStr">
        <is>
          <t xml:space="preserve"> karachi </t>
        </is>
      </c>
      <c r="E42" s="2" t="inlineStr">
        <is>
          <t>Webcam</t>
        </is>
      </c>
      <c r="F42" s="2" t="inlineStr">
        <is>
          <t>East</t>
        </is>
      </c>
      <c r="G42" s="2" t="inlineStr">
        <is>
          <t>zain87@outlook.com</t>
        </is>
      </c>
      <c r="H42" s="2" t="inlineStr">
        <is>
          <t xml:space="preserve"> 0312-5557788</t>
        </is>
      </c>
      <c r="I42" s="2" t="inlineStr">
        <is>
          <t xml:space="preserve"> 2026-10-05 </t>
        </is>
      </c>
      <c r="J42" s="2" t="n">
        <v>4</v>
      </c>
      <c r="K42" s="2" t="n">
        <v>1500</v>
      </c>
      <c r="L42" s="2" t="inlineStr">
        <is>
          <t>Store</t>
        </is>
      </c>
      <c r="M42" s="2" t="inlineStr">
        <is>
          <t>Urgent</t>
        </is>
      </c>
    </row>
    <row r="43">
      <c r="A43" s="2" t="inlineStr">
        <is>
          <t>ORD-1042</t>
        </is>
      </c>
      <c r="B43" s="2" t="inlineStr">
        <is>
          <t xml:space="preserve">  hina  </t>
        </is>
      </c>
      <c r="C43" s="2" t="inlineStr">
        <is>
          <t xml:space="preserve">  Ahmed</t>
        </is>
      </c>
      <c r="D43" s="2" t="inlineStr">
        <is>
          <t xml:space="preserve">Islamabad </t>
        </is>
      </c>
      <c r="E43" s="2" t="inlineStr">
        <is>
          <t>Mouse</t>
        </is>
      </c>
      <c r="F43" s="2" t="inlineStr">
        <is>
          <t>North</t>
        </is>
      </c>
      <c r="G43" s="2" t="inlineStr">
        <is>
          <t>hina82@yahoo.com</t>
        </is>
      </c>
      <c r="H43" s="2" t="n"/>
      <c r="I43" s="2" t="inlineStr">
        <is>
          <t>01/10/2026</t>
        </is>
      </c>
      <c r="J43" s="2" t="n"/>
      <c r="K43" s="2" t="n">
        <v>1500</v>
      </c>
      <c r="L43" s="2" t="inlineStr">
        <is>
          <t>Facebook</t>
        </is>
      </c>
      <c r="M43" s="2" t="inlineStr">
        <is>
          <t>N/A</t>
        </is>
      </c>
    </row>
    <row r="44">
      <c r="A44" s="2" t="inlineStr">
        <is>
          <t>ORD-1043</t>
        </is>
      </c>
      <c r="B44" s="2" t="inlineStr">
        <is>
          <t xml:space="preserve">  hina  </t>
        </is>
      </c>
      <c r="C44" s="2" t="inlineStr">
        <is>
          <t>Iqbal</t>
        </is>
      </c>
      <c r="D44" s="2" t="inlineStr">
        <is>
          <t>LAHORE</t>
        </is>
      </c>
      <c r="E44" s="2" t="inlineStr">
        <is>
          <t>Monitor</t>
        </is>
      </c>
      <c r="F44" s="2" t="inlineStr">
        <is>
          <t>West</t>
        </is>
      </c>
      <c r="G44" s="2" t="inlineStr">
        <is>
          <t>hina47@outlook.com</t>
        </is>
      </c>
      <c r="H44" s="2" t="inlineStr">
        <is>
          <t xml:space="preserve"> 0312-5557788</t>
        </is>
      </c>
      <c r="I44" s="2" t="inlineStr">
        <is>
          <t>01/10/2026</t>
        </is>
      </c>
      <c r="J44" s="2" t="n">
        <v>4</v>
      </c>
      <c r="K44" s="2" t="n">
        <v>7500</v>
      </c>
      <c r="L44" s="2" t="inlineStr">
        <is>
          <t>WhatsApp</t>
        </is>
      </c>
      <c r="M44" s="2" t="inlineStr">
        <is>
          <t>—</t>
        </is>
      </c>
    </row>
    <row r="45">
      <c r="A45" s="2" t="inlineStr">
        <is>
          <t>ORD-1044</t>
        </is>
      </c>
      <c r="B45" s="2" t="inlineStr">
        <is>
          <t>zain</t>
        </is>
      </c>
      <c r="C45" s="2" t="inlineStr">
        <is>
          <t>Iqbal</t>
        </is>
      </c>
      <c r="D45" s="2" t="inlineStr">
        <is>
          <t xml:space="preserve">  Sukkur</t>
        </is>
      </c>
      <c r="E45" s="2" t="inlineStr">
        <is>
          <t>Keyboard</t>
        </is>
      </c>
      <c r="F45" s="2" t="inlineStr">
        <is>
          <t>West</t>
        </is>
      </c>
      <c r="G45" s="2" t="inlineStr">
        <is>
          <t>sara82@gmail.com</t>
        </is>
      </c>
      <c r="H45" s="2" t="inlineStr">
        <is>
          <t>0333-1234567</t>
        </is>
      </c>
      <c r="I45" s="2" t="inlineStr">
        <is>
          <t>2026-10-03</t>
        </is>
      </c>
      <c r="J45" s="2" t="n">
        <v>2</v>
      </c>
      <c r="K45" s="2" t="n">
        <v>1500</v>
      </c>
      <c r="L45" s="2" t="inlineStr">
        <is>
          <t>Facebook</t>
        </is>
      </c>
      <c r="M45" s="2" t="inlineStr">
        <is>
          <t>N/A</t>
        </is>
      </c>
    </row>
    <row r="46">
      <c r="A46" s="2" t="inlineStr">
        <is>
          <t>ORD-1045</t>
        </is>
      </c>
      <c r="B46" s="2" t="inlineStr">
        <is>
          <t>mUHAMMAD</t>
        </is>
      </c>
      <c r="C46" s="2" t="inlineStr">
        <is>
          <t>QURESHI</t>
        </is>
      </c>
      <c r="D46" s="2" t="inlineStr">
        <is>
          <t>Multan</t>
        </is>
      </c>
      <c r="E46" s="2" t="inlineStr">
        <is>
          <t>USB Drive</t>
        </is>
      </c>
      <c r="F46" s="2" t="inlineStr">
        <is>
          <t>East</t>
        </is>
      </c>
      <c r="G46" s="2" t="inlineStr">
        <is>
          <t>muhammad53@gmail.com</t>
        </is>
      </c>
      <c r="H46" s="2" t="inlineStr">
        <is>
          <t xml:space="preserve"> 0312-5557788</t>
        </is>
      </c>
      <c r="I46" s="2" t="inlineStr">
        <is>
          <t>2026-10-01</t>
        </is>
      </c>
      <c r="J46" s="2" t="n">
        <v>3</v>
      </c>
      <c r="K46" s="2" t="n">
        <v>7500</v>
      </c>
      <c r="L46" s="2" t="inlineStr">
        <is>
          <t>Store</t>
        </is>
      </c>
      <c r="M46" s="2" t="inlineStr">
        <is>
          <t>N/A</t>
        </is>
      </c>
    </row>
    <row r="47">
      <c r="A47" s="2" t="inlineStr">
        <is>
          <t>ORD-1046</t>
        </is>
      </c>
      <c r="B47" s="2" t="inlineStr">
        <is>
          <t xml:space="preserve">SARA </t>
        </is>
      </c>
      <c r="C47" s="2" t="inlineStr">
        <is>
          <t>QURESHI</t>
        </is>
      </c>
      <c r="D47" s="2" t="inlineStr">
        <is>
          <t>Hyderabad</t>
        </is>
      </c>
      <c r="E47" s="2" t="inlineStr">
        <is>
          <t>Mouse</t>
        </is>
      </c>
      <c r="F47" s="2" t="inlineStr">
        <is>
          <t>North</t>
        </is>
      </c>
      <c r="G47" s="2" t="inlineStr">
        <is>
          <t>sara71@example.com</t>
        </is>
      </c>
      <c r="H47" s="2" t="n"/>
      <c r="I47" s="2" t="inlineStr">
        <is>
          <t xml:space="preserve"> 2026-10-05 </t>
        </is>
      </c>
      <c r="J47" s="2" t="n">
        <v>1</v>
      </c>
      <c r="K47" s="2" t="n"/>
      <c r="L47" s="2" t="inlineStr">
        <is>
          <t>Store</t>
        </is>
      </c>
      <c r="M47" s="2" t="inlineStr">
        <is>
          <t xml:space="preserve"> check address </t>
        </is>
      </c>
    </row>
    <row r="48">
      <c r="A48" s="2" t="inlineStr">
        <is>
          <t>ORD-1047</t>
        </is>
      </c>
      <c r="B48" s="2" t="inlineStr">
        <is>
          <t>Noor</t>
        </is>
      </c>
      <c r="C48" s="2" t="inlineStr">
        <is>
          <t xml:space="preserve">  Ahmed</t>
        </is>
      </c>
      <c r="D48" s="2" t="inlineStr">
        <is>
          <t xml:space="preserve">Islamabad </t>
        </is>
      </c>
      <c r="E48" s="2" t="inlineStr">
        <is>
          <t>Mouse</t>
        </is>
      </c>
      <c r="F48" s="2" t="inlineStr">
        <is>
          <t>North</t>
        </is>
      </c>
      <c r="G48" s="2" t="inlineStr">
        <is>
          <t>noor68@outlook.com</t>
        </is>
      </c>
      <c r="H48" s="2" t="inlineStr">
        <is>
          <t xml:space="preserve"> 0312-5557788</t>
        </is>
      </c>
      <c r="I48" s="2" t="inlineStr">
        <is>
          <t>01/10/2026</t>
        </is>
      </c>
      <c r="J48" s="2" t="n">
        <v>5</v>
      </c>
      <c r="K48" s="2" t="n">
        <v>3500</v>
      </c>
      <c r="L48" s="2" t="inlineStr">
        <is>
          <t>WhatsApp</t>
        </is>
      </c>
      <c r="M48" s="2" t="inlineStr">
        <is>
          <t>Urgent</t>
        </is>
      </c>
    </row>
    <row r="49">
      <c r="A49" s="2" t="inlineStr">
        <is>
          <t>ORD-1048</t>
        </is>
      </c>
      <c r="B49" s="2" t="inlineStr">
        <is>
          <t>zain</t>
        </is>
      </c>
      <c r="C49" s="2" t="inlineStr">
        <is>
          <t xml:space="preserve">  Ahmed</t>
        </is>
      </c>
      <c r="D49" s="2" t="inlineStr">
        <is>
          <t xml:space="preserve">Islamabad </t>
        </is>
      </c>
      <c r="E49" s="2" t="inlineStr">
        <is>
          <t>Keyboard</t>
        </is>
      </c>
      <c r="F49" s="2" t="inlineStr">
        <is>
          <t>South</t>
        </is>
      </c>
      <c r="G49" s="2" t="inlineStr">
        <is>
          <t>zain14@example.com</t>
        </is>
      </c>
      <c r="H49" s="2" t="n"/>
      <c r="I49" s="2" t="inlineStr">
        <is>
          <t>05-10-2026</t>
        </is>
      </c>
      <c r="J49" s="2" t="n">
        <v>5</v>
      </c>
      <c r="K49" s="2" t="n">
        <v>7500</v>
      </c>
      <c r="L49" s="2" t="inlineStr">
        <is>
          <t xml:space="preserve">Website </t>
        </is>
      </c>
      <c r="M49" s="2" t="inlineStr">
        <is>
          <t>Urgent</t>
        </is>
      </c>
    </row>
    <row r="50">
      <c r="A50" s="2" t="inlineStr">
        <is>
          <t>ORD-1049</t>
        </is>
      </c>
      <c r="B50" s="2" t="inlineStr">
        <is>
          <t>Noor</t>
        </is>
      </c>
      <c r="C50" s="2" t="inlineStr">
        <is>
          <t>Khan</t>
        </is>
      </c>
      <c r="D50" s="2" t="inlineStr">
        <is>
          <t>Multan</t>
        </is>
      </c>
      <c r="E50" s="2" t="inlineStr">
        <is>
          <t>Keyboard</t>
        </is>
      </c>
      <c r="F50" s="2" t="inlineStr">
        <is>
          <t>South</t>
        </is>
      </c>
      <c r="G50" s="2" t="inlineStr">
        <is>
          <t>noor52@gmail.com</t>
        </is>
      </c>
      <c r="H50" s="2" t="inlineStr">
        <is>
          <t>03001234567</t>
        </is>
      </c>
      <c r="I50" s="2" t="inlineStr">
        <is>
          <t>05-10-2026</t>
        </is>
      </c>
      <c r="J50" s="2" t="n">
        <v>4</v>
      </c>
      <c r="K50" s="2" t="n">
        <v>3500</v>
      </c>
      <c r="L50" s="2" t="inlineStr">
        <is>
          <t>WhatsApp</t>
        </is>
      </c>
      <c r="M50" s="2" t="inlineStr">
        <is>
          <t>—</t>
        </is>
      </c>
    </row>
    <row r="51">
      <c r="A51" s="2" t="inlineStr">
        <is>
          <t>ORD-1050</t>
        </is>
      </c>
      <c r="B51" s="2" t="inlineStr">
        <is>
          <t xml:space="preserve">Usman </t>
        </is>
      </c>
      <c r="C51" s="2" t="inlineStr">
        <is>
          <t>QURESHI</t>
        </is>
      </c>
      <c r="D51" s="2" t="inlineStr">
        <is>
          <t>Multan</t>
        </is>
      </c>
      <c r="E51" s="2" t="inlineStr">
        <is>
          <t>USB Drive</t>
        </is>
      </c>
      <c r="F51" s="2" t="inlineStr">
        <is>
          <t>South</t>
        </is>
      </c>
      <c r="G51" s="2" t="inlineStr">
        <is>
          <t>usman19@gmail.com</t>
        </is>
      </c>
      <c r="H51" s="2" t="inlineStr">
        <is>
          <t>0321 444 9988</t>
        </is>
      </c>
      <c r="I51" s="2" t="inlineStr">
        <is>
          <t>2026-10-01</t>
        </is>
      </c>
      <c r="J51" s="2" t="n">
        <v>3</v>
      </c>
      <c r="K51" s="2" t="n">
        <v>7500</v>
      </c>
      <c r="L51" s="2" t="inlineStr">
        <is>
          <t xml:space="preserve">Website </t>
        </is>
      </c>
      <c r="M51" s="2" t="inlineStr">
        <is>
          <t>—</t>
        </is>
      </c>
    </row>
  </sheetData>
  <autoFilter ref="A1:M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8" customWidth="1" min="3" max="3"/>
    <col width="48" customWidth="1" min="4" max="4"/>
    <col width="38" customWidth="1" min="5" max="5"/>
  </cols>
  <sheetData>
    <row r="1" ht="30" customHeight="1">
      <c r="A1" s="1" t="inlineStr">
        <is>
          <t>Task #</t>
        </is>
      </c>
      <c r="B1" s="1" t="inlineStr">
        <is>
          <t>Skill</t>
        </is>
      </c>
      <c r="C1" s="1" t="inlineStr">
        <is>
          <t>Student Task</t>
        </is>
      </c>
      <c r="D1" s="1" t="inlineStr">
        <is>
          <t>Suggested Formula / Tool</t>
        </is>
      </c>
      <c r="E1" s="1" t="inlineStr">
        <is>
          <t>Expected Learning</t>
        </is>
      </c>
    </row>
    <row r="2" ht="42" customHeight="1">
      <c r="A2" s="2" t="n">
        <v>1</v>
      </c>
      <c r="B2" s="2" t="inlineStr">
        <is>
          <t>TRIM</t>
        </is>
      </c>
      <c r="C2" s="2" t="inlineStr">
        <is>
          <t>Remove extra spaces from First_Name</t>
        </is>
      </c>
      <c r="D2" s="2">
        <f>TRIM(B2)</f>
        <v/>
      </c>
      <c r="E2" s="2" t="inlineStr">
        <is>
          <t>Clean leading/trailing/repeated spaces</t>
        </is>
      </c>
    </row>
    <row r="3" ht="42" customHeight="1">
      <c r="A3" s="2" t="n">
        <v>2</v>
      </c>
      <c r="B3" s="2" t="inlineStr">
        <is>
          <t>CLEAN</t>
        </is>
      </c>
      <c r="C3" s="2" t="inlineStr">
        <is>
          <t>Remove non-printing characters from imported text</t>
        </is>
      </c>
      <c r="D3" s="2">
        <f>CLEAN(B2)</f>
        <v/>
      </c>
      <c r="E3" s="2" t="inlineStr">
        <is>
          <t>Remove non-printing characters</t>
        </is>
      </c>
    </row>
    <row r="4" ht="42" customHeight="1">
      <c r="A4" s="2" t="n">
        <v>3</v>
      </c>
      <c r="B4" s="2" t="inlineStr">
        <is>
          <t>LEFT / RIGHT / MID</t>
        </is>
      </c>
      <c r="C4" s="2" t="inlineStr">
        <is>
          <t>Extract order prefix, last 4 digits, or part of an ID</t>
        </is>
      </c>
      <c r="D4" s="2">
        <f>LEFT(A2,3) / =RIGHT(A2,4) / =MID(A2,5,4)</f>
        <v/>
      </c>
      <c r="E4" s="2" t="inlineStr">
        <is>
          <t>Extract text by position</t>
        </is>
      </c>
    </row>
    <row r="5" ht="42" customHeight="1">
      <c r="A5" s="2" t="n">
        <v>4</v>
      </c>
      <c r="B5" s="2" t="inlineStr">
        <is>
          <t>UPPER / LOWER / PROPER</t>
        </is>
      </c>
      <c r="C5" s="2" t="inlineStr">
        <is>
          <t>Standardize name casing</t>
        </is>
      </c>
      <c r="D5" s="2">
        <f>PROPER(TRIM(B2))</f>
        <v/>
      </c>
      <c r="E5" s="2" t="inlineStr">
        <is>
          <t>Consistent capitalization</t>
        </is>
      </c>
    </row>
    <row r="6" ht="42" customHeight="1">
      <c r="A6" s="2" t="n">
        <v>5</v>
      </c>
      <c r="B6" s="2" t="inlineStr">
        <is>
          <t>LEN</t>
        </is>
      </c>
      <c r="C6" s="2" t="inlineStr">
        <is>
          <t>Count characters in Order_ID or Phone</t>
        </is>
      </c>
      <c r="D6" s="2">
        <f>LEN(A2)</f>
        <v/>
      </c>
      <c r="E6" s="2" t="inlineStr">
        <is>
          <t>Check data length</t>
        </is>
      </c>
    </row>
    <row r="7" ht="42" customHeight="1">
      <c r="A7" s="2" t="n">
        <v>6</v>
      </c>
      <c r="B7" s="2" t="inlineStr">
        <is>
          <t>FIND</t>
        </is>
      </c>
      <c r="C7" s="2" t="inlineStr">
        <is>
          <t>Find the @ symbol in Email</t>
        </is>
      </c>
      <c r="D7" s="2">
        <f>FIND("@",G2)</f>
        <v/>
      </c>
      <c r="E7" s="2" t="inlineStr">
        <is>
          <t>Locate a character (case-sensitive)</t>
        </is>
      </c>
    </row>
    <row r="8" ht="42" customHeight="1">
      <c r="A8" s="2" t="n">
        <v>7</v>
      </c>
      <c r="B8" s="2" t="inlineStr">
        <is>
          <t>SUBSTITUTE</t>
        </is>
      </c>
      <c r="C8" s="2" t="inlineStr">
        <is>
          <t>Replace hyphens in Phone with nothing or spaces with hyphens</t>
        </is>
      </c>
      <c r="D8" s="2">
        <f>SUBSTITUTE(H2,"-","")</f>
        <v/>
      </c>
      <c r="E8" s="2" t="inlineStr">
        <is>
          <t>Replace specific text</t>
        </is>
      </c>
    </row>
    <row r="9" ht="42" customHeight="1">
      <c r="A9" s="2" t="n">
        <v>8</v>
      </c>
      <c r="B9" s="2" t="inlineStr">
        <is>
          <t>FILTER</t>
        </is>
      </c>
      <c r="C9" s="2" t="inlineStr">
        <is>
          <t>Display rows where Region is South</t>
        </is>
      </c>
      <c r="D9" s="2">
        <f>FILTER(A2:M51,F2:F51="South","No rows")</f>
        <v/>
      </c>
      <c r="E9" s="2" t="inlineStr">
        <is>
          <t>Return matching records (Excel 365)</t>
        </is>
      </c>
    </row>
    <row r="10" ht="42" customHeight="1">
      <c r="A10" s="2" t="n">
        <v>9</v>
      </c>
      <c r="B10" s="2" t="inlineStr">
        <is>
          <t>UNIQUE</t>
        </is>
      </c>
      <c r="C10" s="2" t="inlineStr">
        <is>
          <t>List distinct Products</t>
        </is>
      </c>
      <c r="D10" s="2">
        <f>UNIQUE(E2:E51)</f>
        <v/>
      </c>
      <c r="E10" s="2" t="inlineStr">
        <is>
          <t>Extract unique values (Excel 365)</t>
        </is>
      </c>
    </row>
    <row r="11" ht="42" customHeight="1">
      <c r="A11" s="2" t="n">
        <v>10</v>
      </c>
      <c r="B11" s="2" t="inlineStr">
        <is>
          <t>SORT</t>
        </is>
      </c>
      <c r="C11" s="2" t="inlineStr">
        <is>
          <t>Sort unique cities alphabetically</t>
        </is>
      </c>
      <c r="D11" s="2">
        <f>SORT(UNIQUE(D2:D51))</f>
        <v/>
      </c>
      <c r="E11" s="2" t="inlineStr">
        <is>
          <t>Sort dynamic-array results (Excel 365)</t>
        </is>
      </c>
    </row>
    <row r="12" ht="42" customHeight="1">
      <c r="A12" s="2" t="n">
        <v>11</v>
      </c>
      <c r="B12" s="2" t="inlineStr">
        <is>
          <t>SEQUENCE</t>
        </is>
      </c>
      <c r="C12" s="2" t="inlineStr">
        <is>
          <t>Create a numbered list from 1 to 50</t>
        </is>
      </c>
      <c r="D12" s="2">
        <f>SEQUENCE(50)</f>
        <v/>
      </c>
      <c r="E12" s="2" t="inlineStr">
        <is>
          <t>Generate sequential numbers (Excel 365)</t>
        </is>
      </c>
    </row>
    <row r="13" ht="42" customHeight="1">
      <c r="A13" s="2" t="n">
        <v>12</v>
      </c>
      <c r="B13" s="2" t="inlineStr">
        <is>
          <t>VSTACK</t>
        </is>
      </c>
      <c r="C13" s="2" t="inlineStr">
        <is>
          <t>Combine two same-structure tables vertically</t>
        </is>
      </c>
      <c r="D13" s="2">
        <f>VSTACK(A2:M26,A27:M51)</f>
        <v/>
      </c>
      <c r="E13" s="2" t="inlineStr">
        <is>
          <t>Stack ranges (Excel 365)</t>
        </is>
      </c>
    </row>
    <row r="14" ht="42" customHeight="1">
      <c r="A14" s="2" t="n">
        <v>13</v>
      </c>
      <c r="B14" s="2" t="inlineStr">
        <is>
          <t>HSTACK</t>
        </is>
      </c>
      <c r="C14" s="2" t="inlineStr">
        <is>
          <t>Place selected columns side by side</t>
        </is>
      </c>
      <c r="D14" s="2">
        <f>HSTACK(A2:A51,E2:E51,J2:J51)</f>
        <v/>
      </c>
      <c r="E14" s="2" t="inlineStr">
        <is>
          <t>Combine arrays horizontally (Excel 365)</t>
        </is>
      </c>
    </row>
    <row r="15" ht="42" customHeight="1">
      <c r="A15" s="2" t="n">
        <v>14</v>
      </c>
      <c r="B15" s="2" t="inlineStr">
        <is>
          <t>Flash Fill</t>
        </is>
      </c>
      <c r="C15" s="2" t="inlineStr">
        <is>
          <t>Extract first name or normalize phone patterns</t>
        </is>
      </c>
      <c r="D15" s="2" t="inlineStr">
        <is>
          <t>Data &gt; Flash Fill or Ctrl+E</t>
        </is>
      </c>
      <c r="E15" s="2" t="inlineStr">
        <is>
          <t>Recognize a demonstrated pattern</t>
        </is>
      </c>
    </row>
    <row r="16" ht="42" customHeight="1">
      <c r="A16" s="2" t="n">
        <v>15</v>
      </c>
      <c r="B16" s="2" t="inlineStr">
        <is>
          <t>Fill Series</t>
        </is>
      </c>
      <c r="C16" s="2" t="inlineStr">
        <is>
          <t>Generate IDs 1, 2, 3… or dates</t>
        </is>
      </c>
      <c r="D16" s="2" t="inlineStr">
        <is>
          <t>Home &gt; Fill &gt; Series</t>
        </is>
      </c>
      <c r="E16" s="2" t="inlineStr">
        <is>
          <t>Fill predictable sequences</t>
        </is>
      </c>
    </row>
    <row r="17" ht="42" customHeight="1">
      <c r="A17" s="2" t="n">
        <v>16</v>
      </c>
      <c r="B17" s="2" t="inlineStr">
        <is>
          <t>Text to Columns</t>
        </is>
      </c>
      <c r="C17" s="2" t="inlineStr">
        <is>
          <t>Split text using a delimiter</t>
        </is>
      </c>
      <c r="D17" s="2" t="inlineStr">
        <is>
          <t>Data &gt; Text to Columns</t>
        </is>
      </c>
      <c r="E17" s="2" t="inlineStr">
        <is>
          <t>Split text into separate columns</t>
        </is>
      </c>
    </row>
    <row r="18" ht="42" customHeight="1">
      <c r="A18" s="2" t="n">
        <v>17</v>
      </c>
      <c r="B18" s="2" t="inlineStr">
        <is>
          <t>Duplicate Detection</t>
        </is>
      </c>
      <c r="C18" s="2" t="inlineStr">
        <is>
          <t>Highlight duplicate Order_ID or Email</t>
        </is>
      </c>
      <c r="D18" s="2" t="inlineStr">
        <is>
          <t>Home &gt; Conditional Formatting &gt; Duplicate Values</t>
        </is>
      </c>
      <c r="E18" s="2" t="inlineStr">
        <is>
          <t>Identify potential duplicates</t>
        </is>
      </c>
    </row>
    <row r="19" ht="42" customHeight="1">
      <c r="A19" s="2" t="n">
        <v>18</v>
      </c>
      <c r="B19" s="2" t="inlineStr">
        <is>
          <t>Remove Duplicates</t>
        </is>
      </c>
      <c r="C19" s="2" t="inlineStr">
        <is>
          <t>Remove duplicate records using Order_ID as key</t>
        </is>
      </c>
      <c r="D19" s="2" t="inlineStr">
        <is>
          <t>Data &gt; Remove Duplicates</t>
        </is>
      </c>
      <c r="E19" s="2" t="inlineStr">
        <is>
          <t>Remove repeated keys carefully</t>
        </is>
      </c>
    </row>
    <row r="20" ht="42" customHeight="1">
      <c r="A20" s="2" t="n">
        <v>19</v>
      </c>
      <c r="B20" s="2" t="inlineStr">
        <is>
          <t>SUBTOTAL</t>
        </is>
      </c>
      <c r="C20" s="2" t="inlineStr">
        <is>
          <t>Calculate visible-row total of Quantity</t>
        </is>
      </c>
      <c r="D20" s="2">
        <f>SUBTOTAL(9,J2:J51)</f>
        <v/>
      </c>
      <c r="E20" s="2" t="inlineStr">
        <is>
          <t>Aggregate filtered rows</t>
        </is>
      </c>
    </row>
    <row r="21" ht="42" customHeight="1">
      <c r="A21" s="2" t="n">
        <v>20</v>
      </c>
      <c r="B21" s="2" t="inlineStr">
        <is>
          <t>AGGREGATE</t>
        </is>
      </c>
      <c r="C21" s="2" t="inlineStr">
        <is>
          <t>Find maximum Unit_Price while ignoring errors/hidden rows</t>
        </is>
      </c>
      <c r="D21" s="2">
        <f>AGGREGATE(4,7,K2:K51)</f>
        <v/>
      </c>
      <c r="E21" s="2" t="inlineStr">
        <is>
          <t>Flexible aggregation options</t>
        </is>
      </c>
    </row>
    <row r="22" ht="42" customHeight="1">
      <c r="A22" s="2" t="n">
        <v>21</v>
      </c>
      <c r="B22" s="2" t="inlineStr">
        <is>
          <t>Power Query Import</t>
        </is>
      </c>
      <c r="C22" s="2" t="inlineStr">
        <is>
          <t>Import this table and a second CSV/table</t>
        </is>
      </c>
      <c r="D22" s="2" t="inlineStr">
        <is>
          <t>Data &gt; Get Data</t>
        </is>
      </c>
      <c r="E22" s="2" t="inlineStr">
        <is>
          <t>Connect to data sources</t>
        </is>
      </c>
    </row>
    <row r="23" ht="42" customHeight="1">
      <c r="A23" s="2" t="n">
        <v>22</v>
      </c>
      <c r="B23" s="2" t="inlineStr">
        <is>
          <t>Power Query Clean</t>
        </is>
      </c>
      <c r="C23" s="2" t="inlineStr">
        <is>
          <t>Trim/Clean text, standardize case, replace N/A or —, set types</t>
        </is>
      </c>
      <c r="D23" s="2" t="inlineStr">
        <is>
          <t>Power Query Transform ribbon</t>
        </is>
      </c>
      <c r="E23" s="2" t="inlineStr">
        <is>
          <t>Repeatable cleaning steps</t>
        </is>
      </c>
    </row>
    <row r="24" ht="42" customHeight="1">
      <c r="A24" s="2" t="n">
        <v>23</v>
      </c>
      <c r="B24" s="2" t="inlineStr">
        <is>
          <t>Merge Queries</t>
        </is>
      </c>
      <c r="C24" s="2" t="inlineStr">
        <is>
          <t>Join a customer lookup table using a shared key</t>
        </is>
      </c>
      <c r="D24" s="2" t="inlineStr">
        <is>
          <t>Home &gt; Merge Queries</t>
        </is>
      </c>
      <c r="E24" s="2" t="inlineStr">
        <is>
          <t>Join columns from related tables</t>
        </is>
      </c>
    </row>
    <row r="25" ht="42" customHeight="1">
      <c r="A25" s="2" t="n">
        <v>24</v>
      </c>
      <c r="B25" s="2" t="inlineStr">
        <is>
          <t>Append Queries</t>
        </is>
      </c>
      <c r="C25" s="2" t="inlineStr">
        <is>
          <t>Combine two monthly sales tables with same columns</t>
        </is>
      </c>
      <c r="D25" s="2" t="inlineStr">
        <is>
          <t>Home &gt; Append Queries</t>
        </is>
      </c>
      <c r="E25" s="2" t="inlineStr">
        <is>
          <t>Combine rows from tables</t>
        </is>
      </c>
    </row>
    <row r="26" ht="42" customHeight="1">
      <c r="A26" s="2" t="n">
        <v>25</v>
      </c>
      <c r="B26" s="2" t="inlineStr">
        <is>
          <t>Refresh</t>
        </is>
      </c>
      <c r="C26" s="2" t="inlineStr">
        <is>
          <t>Change a source value and refresh the query</t>
        </is>
      </c>
      <c r="D26" s="2" t="inlineStr">
        <is>
          <t>Data &gt; Refresh All</t>
        </is>
      </c>
      <c r="E26" s="2" t="inlineStr">
        <is>
          <t>Automate repeatable updates</t>
        </is>
      </c>
    </row>
  </sheetData>
  <autoFilter ref="A1:E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0" customHeight="1">
      <c r="A1" s="3" t="inlineStr">
        <is>
          <t>MODULE 3: DATA CLEANING &amp; TRANSFORMATION</t>
        </is>
      </c>
    </row>
    <row r="2" ht="42" customHeight="1">
      <c r="A2" s="4" t="inlineStr">
        <is>
          <t>Recommended duration</t>
        </is>
      </c>
      <c r="B2" s="5" t="inlineStr">
        <is>
          <t>2.5–3 hours</t>
        </is>
      </c>
    </row>
    <row r="3" ht="42" customHeight="1">
      <c r="A3" s="6" t="inlineStr">
        <is>
          <t>Learning outcomes</t>
        </is>
      </c>
      <c r="B3" s="2" t="inlineStr">
        <is>
          <t>Students will clean messy data, apply text/dynamic-array formulas, identify duplicates, summarize filtered data, and build a refreshable Power Query workflow.</t>
        </is>
      </c>
    </row>
    <row r="4" ht="42" customHeight="1">
      <c r="A4" s="4" t="inlineStr">
        <is>
          <t>Suggested class flow</t>
        </is>
      </c>
      <c r="B4" s="5" t="inlineStr"/>
    </row>
    <row r="5" ht="42" customHeight="1">
      <c r="A5" s="6" t="inlineStr">
        <is>
          <t>1. Starter (10 min)</t>
        </is>
      </c>
      <c r="B5" s="2" t="inlineStr">
        <is>
          <t>Ask: What problems happen when names have extra spaces, dates use different formats, or order IDs repeat? Inspect Raw_Data_50_Rows.</t>
        </is>
      </c>
    </row>
    <row r="6" ht="42" customHeight="1">
      <c r="A6" s="4" t="inlineStr">
        <is>
          <t>2. Formula demonstration (35 min)</t>
        </is>
      </c>
      <c r="B6" s="5" t="inlineStr">
        <is>
          <t>TRIM, CLEAN, LEFT, RIGHT, MID, UPPER, LOWER, PROPER, LEN, FIND, SUBSTITUTE. Create cleaned columns; do not overwrite raw data.</t>
        </is>
      </c>
    </row>
    <row r="7" ht="42" customHeight="1">
      <c r="A7" s="6" t="inlineStr">
        <is>
          <t>3. Dynamic arrays (20 min)</t>
        </is>
      </c>
      <c r="B7" s="2" t="inlineStr">
        <is>
          <t>FILTER, UNIQUE, SORT, SEQUENCE, VSTACK, HSTACK. These require compatible modern Excel versions.</t>
        </is>
      </c>
    </row>
    <row r="8" ht="42" customHeight="1">
      <c r="A8" s="4" t="inlineStr">
        <is>
          <t>4. Excel tools (20 min)</t>
        </is>
      </c>
      <c r="B8" s="5" t="inlineStr">
        <is>
          <t>Flash Fill (Ctrl+E), Fill Series, Text to Columns, Conditional Formatting for duplicates, Remove Duplicates.</t>
        </is>
      </c>
    </row>
    <row r="9" ht="42" customHeight="1">
      <c r="A9" s="6" t="inlineStr">
        <is>
          <t>5. Summary functions (15 min)</t>
        </is>
      </c>
      <c r="B9" s="2" t="inlineStr">
        <is>
          <t>SUBTOTAL for filtered lists; AGGREGATE for calculations with options to ignore hidden rows/errors.</t>
        </is>
      </c>
    </row>
    <row r="10" ht="42" customHeight="1">
      <c r="A10" s="4" t="inlineStr">
        <is>
          <t>6. Power Query demo (35 min)</t>
        </is>
      </c>
      <c r="B10" s="5" t="inlineStr">
        <is>
          <t>Data &gt; From Table/Range. Apply Trim/Clean, Proper Case, replace N/A or —, set data types, remove duplicates, then Close &amp; Load.</t>
        </is>
      </c>
    </row>
    <row r="11" ht="42" customHeight="1">
      <c r="A11" s="6" t="inlineStr">
        <is>
          <t>7. Merge vs Append (15 min)</t>
        </is>
      </c>
      <c r="B11" s="2" t="inlineStr">
        <is>
          <t>Merge joins columns using a matching key. Append adds rows from similarly structured tables.</t>
        </is>
      </c>
    </row>
    <row r="12" ht="42" customHeight="1">
      <c r="A12" s="4" t="inlineStr">
        <is>
          <t>8. Refresh &amp; practice (20 min)</t>
        </is>
      </c>
      <c r="B12" s="5" t="inlineStr">
        <is>
          <t>Edit/add a source row, choose Data &gt; Refresh All, and confirm the cleaned output updates.</t>
        </is>
      </c>
    </row>
    <row r="13" ht="42" customHeight="1">
      <c r="A13" s="6" t="inlineStr">
        <is>
          <t>Teacher notes</t>
        </is>
      </c>
      <c r="B13" s="2" t="inlineStr">
        <is>
          <t>Keep raw data unchanged. Check duplicates before deleting: the same email may legitimately appear on multiple orders.</t>
        </is>
      </c>
    </row>
    <row r="14" ht="42" customHeight="1">
      <c r="A14" s="4" t="inlineStr">
        <is>
          <t>Power Query exercise</t>
        </is>
      </c>
      <c r="B14" s="5" t="inlineStr">
        <is>
          <t>Import the raw table; clean names, cities, regions, emails and phones; standardize dates and numeric columns; handle blanks; load to a new worksheet.</t>
        </is>
      </c>
    </row>
    <row r="15" ht="42" customHeight="1">
      <c r="A15" s="6" t="inlineStr">
        <is>
          <t>Assessment</t>
        </is>
      </c>
      <c r="B15" s="2" t="inlineStr">
        <is>
          <t>Submit a cleaned table, unique product list, South region filter, duplicate report, visible-row quantity subtotal, and refreshable Power Query output.</t>
        </is>
      </c>
    </row>
    <row r="16" ht="42" customHeight="1">
      <c r="A16" s="4" t="inlineStr">
        <is>
          <t>Compatibility note</t>
        </is>
      </c>
      <c r="B16" s="5" t="inlineStr">
        <is>
          <t>FILTER, UNIQUE, SORT, SEQUENCE, VSTACK and HSTACK require modern Excel/Microsoft 365 builds. Menu names vary by platform/version.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2026-10-17T20:03:47Z</dcterms:created>
  <dcterms:modified xmlns:dcterms="http://purl.org/dc/terms/" xmlns:xsi="http://www.w3.org/2001/XMLSchema-instance" xsi:type="dcterms:W3CDTF">2026-10-17T20:03:47Z</dcterms:modified>
</cp:coreProperties>
</file>